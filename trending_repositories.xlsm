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_\projects\GithubWebScrape\"/>
    </mc:Choice>
  </mc:AlternateContent>
  <xr:revisionPtr revIDLastSave="0" documentId="13_ncr:1_{6DE0AFED-3023-4A05-9E2C-549C19FCD023}" xr6:coauthVersionLast="47" xr6:coauthVersionMax="47" xr10:uidLastSave="{00000000-0000-0000-0000-000000000000}"/>
  <bookViews>
    <workbookView xWindow="-108" yWindow="-108" windowWidth="23256" windowHeight="12456" tabRatio="398" activeTab="2" xr2:uid="{1269A3F6-CCD4-40A0-A8C6-49F721D4E20C}"/>
  </bookViews>
  <sheets>
    <sheet name="Data" sheetId="1" r:id="rId1"/>
    <sheet name="DataCopy" sheetId="3" r:id="rId2"/>
    <sheet name="Dashboard" sheetId="2" r:id="rId3"/>
  </sheets>
  <definedNames>
    <definedName name="_xlchart.v1.0" hidden="1">DataCopy!$I$3:$I$13</definedName>
    <definedName name="_xlchart.v1.1" hidden="1">DataCopy!$J$2</definedName>
    <definedName name="_xlchart.v1.2" hidden="1">DataCopy!$J$3:$J$13</definedName>
    <definedName name="_xlchart.v1.3" hidden="1">DataCopy!$I$3:$I$13</definedName>
    <definedName name="_xlchart.v1.4" hidden="1">DataCopy!$J$2</definedName>
    <definedName name="_xlchart.v1.5" hidden="1">DataCopy!$J$3:$J$13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" l="1" a="1"/>
  <c r="B12" i="1" s="1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F1" i="3"/>
  <c r="E1" i="3"/>
  <c r="D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1" i="3"/>
  <c r="B2" i="3"/>
  <c r="B3" i="3"/>
  <c r="B4" i="3"/>
  <c r="B5" i="3"/>
  <c r="B6" i="3"/>
  <c r="B7" i="3"/>
  <c r="B8" i="3"/>
  <c r="B9" i="3"/>
  <c r="B10" i="3"/>
  <c r="B11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1" i="3"/>
  <c r="A3" i="3"/>
  <c r="G3" i="3" s="1"/>
  <c r="A4" i="3"/>
  <c r="G4" i="3" s="1"/>
  <c r="A5" i="3"/>
  <c r="G5" i="3" s="1"/>
  <c r="A6" i="3"/>
  <c r="G6" i="3" s="1"/>
  <c r="A7" i="3"/>
  <c r="G7" i="3" s="1"/>
  <c r="A8" i="3"/>
  <c r="G8" i="3" s="1"/>
  <c r="A9" i="3"/>
  <c r="G9" i="3" s="1"/>
  <c r="A10" i="3"/>
  <c r="G10" i="3" s="1"/>
  <c r="A11" i="3"/>
  <c r="G11" i="3" s="1"/>
  <c r="A12" i="3"/>
  <c r="G12" i="3" s="1"/>
  <c r="A13" i="3"/>
  <c r="G13" i="3" s="1"/>
  <c r="A14" i="3"/>
  <c r="G14" i="3" s="1"/>
  <c r="A15" i="3"/>
  <c r="G15" i="3" s="1"/>
  <c r="A16" i="3"/>
  <c r="G16" i="3" s="1"/>
  <c r="A17" i="3"/>
  <c r="G17" i="3" s="1"/>
  <c r="A18" i="3"/>
  <c r="G18" i="3" s="1"/>
  <c r="A19" i="3"/>
  <c r="G19" i="3" s="1"/>
  <c r="A20" i="3"/>
  <c r="G20" i="3" s="1"/>
  <c r="A21" i="3"/>
  <c r="G21" i="3" s="1"/>
  <c r="A22" i="3"/>
  <c r="G22" i="3" s="1"/>
  <c r="A23" i="3"/>
  <c r="G23" i="3" s="1"/>
  <c r="A24" i="3"/>
  <c r="G24" i="3" s="1"/>
  <c r="A25" i="3"/>
  <c r="G25" i="3" s="1"/>
  <c r="A2" i="3"/>
  <c r="G2" i="3" s="1"/>
  <c r="A1" i="3"/>
  <c r="I3" i="3" l="1" a="1"/>
  <c r="I3" i="3" s="1"/>
  <c r="K12" i="3" l="1"/>
  <c r="M6" i="3"/>
  <c r="J12" i="3"/>
  <c r="J4" i="3"/>
  <c r="N9" i="3"/>
  <c r="O8" i="3"/>
  <c r="K9" i="3"/>
  <c r="N11" i="3"/>
  <c r="O6" i="3"/>
  <c r="K10" i="3"/>
  <c r="N13" i="3"/>
  <c r="L12" i="3"/>
  <c r="L13" i="3"/>
  <c r="N5" i="3"/>
  <c r="M11" i="3"/>
  <c r="O13" i="3"/>
  <c r="J8" i="3"/>
  <c r="N10" i="3"/>
  <c r="L4" i="3"/>
  <c r="K11" i="3"/>
  <c r="M10" i="3"/>
  <c r="K6" i="3"/>
  <c r="O12" i="3"/>
  <c r="L9" i="3"/>
  <c r="L8" i="3"/>
  <c r="L6" i="3"/>
  <c r="O4" i="3"/>
  <c r="L7" i="3"/>
  <c r="J10" i="3"/>
  <c r="M7" i="3"/>
  <c r="O9" i="3"/>
  <c r="L11" i="3"/>
  <c r="L10" i="3"/>
  <c r="M12" i="3"/>
  <c r="N6" i="3"/>
  <c r="O5" i="3"/>
  <c r="L5" i="3"/>
  <c r="M4" i="3"/>
  <c r="J6" i="3"/>
  <c r="J7" i="3"/>
  <c r="M13" i="3"/>
  <c r="N12" i="3"/>
  <c r="O11" i="3"/>
  <c r="J13" i="3"/>
  <c r="K4" i="3"/>
  <c r="M9" i="3"/>
  <c r="N8" i="3"/>
  <c r="K5" i="3"/>
  <c r="O7" i="3"/>
  <c r="M5" i="3"/>
  <c r="N4" i="3"/>
  <c r="O10" i="3"/>
  <c r="J5" i="3"/>
  <c r="K13" i="3"/>
  <c r="M8" i="3"/>
  <c r="N7" i="3"/>
  <c r="K8" i="3"/>
  <c r="K7" i="3"/>
  <c r="J11" i="3"/>
  <c r="J9" i="3"/>
  <c r="N3" i="3"/>
  <c r="O3" i="3"/>
  <c r="J3" i="3"/>
  <c r="M3" i="3"/>
  <c r="L3" i="3"/>
  <c r="K3" i="3"/>
  <c r="J14" i="3" l="1"/>
  <c r="K14" i="3"/>
  <c r="L1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<sst xmlns="http://schemas.openxmlformats.org/spreadsheetml/2006/main" count="88" uniqueCount="75">
  <si>
    <t>Repository</t>
  </si>
  <si>
    <t>https://github.com/godotengine/godot-demo-projects</t>
  </si>
  <si>
    <t>https://github.com/AykutSarac/jsoncrack.com</t>
  </si>
  <si>
    <t>https://github.com/AUTOMATIC1111/stable-diffusion-webui</t>
  </si>
  <si>
    <t>https://github.com/apache/superset</t>
  </si>
  <si>
    <t>https://github.com/huggingface/transformers</t>
  </si>
  <si>
    <t>https://github.com/cocos/cocos-engine</t>
  </si>
  <si>
    <t>Description</t>
  </si>
  <si>
    <t>Primary Programming Language</t>
  </si>
  <si>
    <t>Stargazers</t>
  </si>
  <si>
    <t>Forks</t>
  </si>
  <si>
    <t>Demonstration and Template Projects</t>
  </si>
  <si>
    <t>GDScript</t>
  </si>
  <si>
    <t>Innovative and open-source visualization application that transforms various data formats, such as JSON, YAML, XML, CSV and more, into interactive graphs.</t>
  </si>
  <si>
    <t>TypeScript</t>
  </si>
  <si>
    <t>Python</t>
  </si>
  <si>
    <t>Rust</t>
  </si>
  <si>
    <t>Stable Diffusion web UI</t>
  </si>
  <si>
    <t>Apache Superset is a Data Visualization and Data Exploration Platform</t>
  </si>
  <si>
    <t>Java</t>
  </si>
  <si>
    <t>Go</t>
  </si>
  <si>
    <t>Transformers: State-of-the-art Machine Learning for Pytorch, TensorFlow, and JAX.</t>
  </si>
  <si>
    <t>C++</t>
  </si>
  <si>
    <t>Cocos simplifies game creation and distribution with Cocos Creator, a free, open-source, cross-platform game engine. Empowering millions of developers to create high-performance, engaging 2D/3D games and instant web entertainment.</t>
  </si>
  <si>
    <t>https://github.com/apache/iotdb</t>
  </si>
  <si>
    <t>Apache IoTDB</t>
  </si>
  <si>
    <t>https://github.com/libre-tube/LibreTube</t>
  </si>
  <si>
    <t>An alternative frontend for YouTube, for Android.</t>
  </si>
  <si>
    <t>Kotlin</t>
  </si>
  <si>
    <t>https://github.com/meshery/meshery</t>
  </si>
  <si>
    <t>Meshery, the cloud native manager</t>
  </si>
  <si>
    <t>https://github.com/airbnb/lottie-ios</t>
  </si>
  <si>
    <t>An iOS library to natively render After Effects vector animations</t>
  </si>
  <si>
    <t>Swift</t>
  </si>
  <si>
    <t>https://github.com/emilk/egui</t>
  </si>
  <si>
    <t>egui: an easy-to-use immediate mode GUI in Rust that runs on both web and native</t>
  </si>
  <si>
    <t>https://github.com/makeplane/plane</t>
  </si>
  <si>
    <t>Open Source JIRA, Linear and Height Alternative. Plane helps you track your issues, epics, and product roadmaps in the simplest way possible.</t>
  </si>
  <si>
    <t>https://github.com/coqui-ai/TTS</t>
  </si>
  <si>
    <t>https://github.com/neonbjb/tortoise-tts</t>
  </si>
  <si>
    <t>A multi-voice TTS system trained with an emphasis on quality</t>
  </si>
  <si>
    <t>Jupyter Notebook</t>
  </si>
  <si>
    <t>https://github.com/paradigmxyz/reth</t>
  </si>
  <si>
    <t>Modular, contributor-friendly and blazing-fast implementation of the Ethereum protocol, in Rust</t>
  </si>
  <si>
    <t>https://github.com/paperless-ngx/paperless-ngx</t>
  </si>
  <si>
    <t>A community-supported supercharged version of paperless: scan, index and archive all your physical documents</t>
  </si>
  <si>
    <t>https://github.com/typeorm/typeorm</t>
  </si>
  <si>
    <t>ORM for TypeScript and JavaScript. Supports MySQL, PostgreSQL, MariaDB, SQLite, MS SQL Server, Oracle, SAP Hana, WebSQL databases. Works in NodeJS, Browser, Ionic, Cordova and Electron platforms.</t>
  </si>
  <si>
    <t>https://github.com/recloudstream/cloudstream</t>
  </si>
  <si>
    <t>Android app for streaming and downloading media.</t>
  </si>
  <si>
    <t>https://github.com/ant-design/ant-design-mobile</t>
  </si>
  <si>
    <t>Essential UI blocks for building mobile web apps.</t>
  </si>
  <si>
    <t>https://github.com/vuejs/core</t>
  </si>
  <si>
    <t>Vue.js is a progressive, incrementally-adoptable JavaScript framework for building UI on the web.</t>
  </si>
  <si>
    <t>https://github.com/localstack/localstack</t>
  </si>
  <si>
    <t>A fully functional local AWS cloud stack. Develop and test your cloud &amp; Serverless apps offline</t>
  </si>
  <si>
    <t>https://github.com/actions/runner-images</t>
  </si>
  <si>
    <t>GitHub Actions runner images</t>
  </si>
  <si>
    <t>PowerShell</t>
  </si>
  <si>
    <t>https://github.com/microsoft/DeepSpeed</t>
  </si>
  <si>
    <t>DeepSpeed is a deep learning optimization library that makes distributed training and inference easy, efficient, and effective.</t>
  </si>
  <si>
    <t>https://github.com/appsmithorg/appsmith</t>
  </si>
  <si>
    <t>Platform to build admin panels, internal tools, and dashboards. Integrates with 15+ databases and any API.</t>
  </si>
  <si>
    <t>Repo Name</t>
  </si>
  <si>
    <t>Unique Primary Programming Language</t>
  </si>
  <si>
    <t>Sum of Stargazers</t>
  </si>
  <si>
    <t>Sum of Forks</t>
  </si>
  <si>
    <t>Sum of Starred Today</t>
  </si>
  <si>
    <t>Total</t>
  </si>
  <si>
    <t>Average of Stargazers</t>
  </si>
  <si>
    <t>Average of Forks</t>
  </si>
  <si>
    <t>Average of Starred Today</t>
  </si>
  <si>
    <t>Stared Today</t>
  </si>
  <si>
    <t>N/A</t>
  </si>
  <si>
    <t>Github Trending Repositories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</si>
</sst>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3" fontId="0" fillId="0" borderId="0" xfId="0" applyNumberFormat="1"/>
    <xf numFmtId="0" fontId="0" fillId="2" borderId="0" xfId="0" applyFill="1"/>
    <xf numFmtId="3" fontId="0" fillId="2" borderId="0" xfId="0" applyNumberFormat="1" applyFill="1"/>
    <xf numFmtId="0" fontId="0" fillId="0" borderId="0" xfId="0" applyAlignment="1">
      <alignment horizontal="right" vertical="center"/>
    </xf>
    <xf numFmtId="0" fontId="0" fillId="0" borderId="5" xfId="0" applyBorder="1"/>
    <xf numFmtId="0" fontId="0" fillId="0" borderId="4" xfId="0" applyBorder="1"/>
    <xf numFmtId="164" fontId="0" fillId="0" borderId="0" xfId="1" applyNumberFormat="1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6" xfId="0" applyFill="1" applyBorder="1"/>
    <xf numFmtId="164" fontId="0" fillId="4" borderId="7" xfId="1" applyNumberFormat="1" applyFont="1" applyFill="1" applyBorder="1"/>
    <xf numFmtId="0" fontId="0" fillId="4" borderId="7" xfId="0" applyFill="1" applyBorder="1"/>
    <xf numFmtId="0" fontId="0" fillId="4" borderId="8" xfId="0" applyFill="1" applyBorder="1"/>
    <xf numFmtId="0" fontId="2" fillId="5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Stargazers and Forks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DataCopy!$D$1</c:f>
              <c:strCache>
                <c:ptCount val="1"/>
                <c:pt idx="0">
                  <c:v>Stargazers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DataCopy!$G$2:$G$25</c:f>
              <c:strCache>
                <c:ptCount val="24"/>
                <c:pt idx="0">
                  <c:v>apache/iotdb</c:v>
                </c:pt>
                <c:pt idx="1">
                  <c:v>godotengine/godot-demo-projects</c:v>
                </c:pt>
                <c:pt idx="2">
                  <c:v>huggingface/transformers</c:v>
                </c:pt>
                <c:pt idx="3">
                  <c:v>libre-tube/LibreTube</c:v>
                </c:pt>
                <c:pt idx="4">
                  <c:v>AUTOMATIC1111/stable-diffusion-webui</c:v>
                </c:pt>
                <c:pt idx="5">
                  <c:v>meshery/meshery</c:v>
                </c:pt>
                <c:pt idx="6">
                  <c:v>airbnb/lottie-ios</c:v>
                </c:pt>
                <c:pt idx="7">
                  <c:v>emilk/egui</c:v>
                </c:pt>
                <c:pt idx="8">
                  <c:v>apache/superset</c:v>
                </c:pt>
                <c:pt idx="9">
                  <c:v>makeplane/plane</c:v>
                </c:pt>
                <c:pt idx="10">
                  <c:v>coqui-ai/TTS</c:v>
                </c:pt>
                <c:pt idx="11">
                  <c:v>neonbjb/tortoise-tts</c:v>
                </c:pt>
                <c:pt idx="12">
                  <c:v>paradigmxyz/reth</c:v>
                </c:pt>
                <c:pt idx="13">
                  <c:v>AykutSarac/jsoncrack.com</c:v>
                </c:pt>
                <c:pt idx="14">
                  <c:v>paperless-ngx/paperless-ngx</c:v>
                </c:pt>
                <c:pt idx="15">
                  <c:v>typeorm/typeorm</c:v>
                </c:pt>
                <c:pt idx="16">
                  <c:v>recloudstream/cloudstream</c:v>
                </c:pt>
                <c:pt idx="17">
                  <c:v>ant-design/ant-design-mobile</c:v>
                </c:pt>
                <c:pt idx="18">
                  <c:v>vuejs/core</c:v>
                </c:pt>
                <c:pt idx="19">
                  <c:v>localstack/localstack</c:v>
                </c:pt>
                <c:pt idx="20">
                  <c:v>actions/runner-images</c:v>
                </c:pt>
                <c:pt idx="21">
                  <c:v>microsoft/DeepSpeed</c:v>
                </c:pt>
                <c:pt idx="22">
                  <c:v>cocos/cocos-engine</c:v>
                </c:pt>
                <c:pt idx="23">
                  <c:v>appsmithorg/appsmith</c:v>
                </c:pt>
              </c:strCache>
            </c:strRef>
          </c:cat>
          <c:val>
            <c:numRef>
              <c:f>DataCopy!$D$2:$D$25</c:f>
              <c:numCache>
                <c:formatCode>General</c:formatCode>
                <c:ptCount val="24"/>
                <c:pt idx="0">
                  <c:v>3913</c:v>
                </c:pt>
                <c:pt idx="1">
                  <c:v>3759</c:v>
                </c:pt>
                <c:pt idx="2">
                  <c:v>111900</c:v>
                </c:pt>
                <c:pt idx="3">
                  <c:v>6212</c:v>
                </c:pt>
                <c:pt idx="4">
                  <c:v>102252</c:v>
                </c:pt>
                <c:pt idx="5">
                  <c:v>3020</c:v>
                </c:pt>
                <c:pt idx="6">
                  <c:v>24424</c:v>
                </c:pt>
                <c:pt idx="7">
                  <c:v>16443</c:v>
                </c:pt>
                <c:pt idx="8">
                  <c:v>54174</c:v>
                </c:pt>
                <c:pt idx="9">
                  <c:v>14578</c:v>
                </c:pt>
                <c:pt idx="10">
                  <c:v>15224</c:v>
                </c:pt>
                <c:pt idx="11">
                  <c:v>9075</c:v>
                </c:pt>
                <c:pt idx="12">
                  <c:v>2306</c:v>
                </c:pt>
                <c:pt idx="13">
                  <c:v>25452</c:v>
                </c:pt>
                <c:pt idx="14">
                  <c:v>9886</c:v>
                </c:pt>
                <c:pt idx="15">
                  <c:v>32079</c:v>
                </c:pt>
                <c:pt idx="16">
                  <c:v>4415</c:v>
                </c:pt>
                <c:pt idx="17">
                  <c:v>11129</c:v>
                </c:pt>
                <c:pt idx="18">
                  <c:v>40244</c:v>
                </c:pt>
                <c:pt idx="19">
                  <c:v>48463</c:v>
                </c:pt>
                <c:pt idx="20">
                  <c:v>8089</c:v>
                </c:pt>
                <c:pt idx="21">
                  <c:v>28358</c:v>
                </c:pt>
                <c:pt idx="22">
                  <c:v>4571</c:v>
                </c:pt>
                <c:pt idx="23">
                  <c:v>29052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64-4611-82F5-837D406BE26E}"/>
            </c:ext>
          </c:extLst>
        </c:ser>
        <c:ser>
          <c:idx val="1"/>
          <c:order val="1"/>
          <c:tx>
            <c:strRef>
              <c:f>DataCopy!$E$1</c:f>
              <c:strCache>
                <c:ptCount val="1"/>
                <c:pt idx="0">
                  <c:v>Forks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DataCopy!$G$2:$G$25</c:f>
              <c:strCache>
                <c:ptCount val="24"/>
                <c:pt idx="0">
                  <c:v>apache/iotdb</c:v>
                </c:pt>
                <c:pt idx="1">
                  <c:v>godotengine/godot-demo-projects</c:v>
                </c:pt>
                <c:pt idx="2">
                  <c:v>huggingface/transformers</c:v>
                </c:pt>
                <c:pt idx="3">
                  <c:v>libre-tube/LibreTube</c:v>
                </c:pt>
                <c:pt idx="4">
                  <c:v>AUTOMATIC1111/stable-diffusion-webui</c:v>
                </c:pt>
                <c:pt idx="5">
                  <c:v>meshery/meshery</c:v>
                </c:pt>
                <c:pt idx="6">
                  <c:v>airbnb/lottie-ios</c:v>
                </c:pt>
                <c:pt idx="7">
                  <c:v>emilk/egui</c:v>
                </c:pt>
                <c:pt idx="8">
                  <c:v>apache/superset</c:v>
                </c:pt>
                <c:pt idx="9">
                  <c:v>makeplane/plane</c:v>
                </c:pt>
                <c:pt idx="10">
                  <c:v>coqui-ai/TTS</c:v>
                </c:pt>
                <c:pt idx="11">
                  <c:v>neonbjb/tortoise-tts</c:v>
                </c:pt>
                <c:pt idx="12">
                  <c:v>paradigmxyz/reth</c:v>
                </c:pt>
                <c:pt idx="13">
                  <c:v>AykutSarac/jsoncrack.com</c:v>
                </c:pt>
                <c:pt idx="14">
                  <c:v>paperless-ngx/paperless-ngx</c:v>
                </c:pt>
                <c:pt idx="15">
                  <c:v>typeorm/typeorm</c:v>
                </c:pt>
                <c:pt idx="16">
                  <c:v>recloudstream/cloudstream</c:v>
                </c:pt>
                <c:pt idx="17">
                  <c:v>ant-design/ant-design-mobile</c:v>
                </c:pt>
                <c:pt idx="18">
                  <c:v>vuejs/core</c:v>
                </c:pt>
                <c:pt idx="19">
                  <c:v>localstack/localstack</c:v>
                </c:pt>
                <c:pt idx="20">
                  <c:v>actions/runner-images</c:v>
                </c:pt>
                <c:pt idx="21">
                  <c:v>microsoft/DeepSpeed</c:v>
                </c:pt>
                <c:pt idx="22">
                  <c:v>cocos/cocos-engine</c:v>
                </c:pt>
                <c:pt idx="23">
                  <c:v>appsmithorg/appsmith</c:v>
                </c:pt>
              </c:strCache>
            </c:strRef>
          </c:cat>
          <c:val>
            <c:numRef>
              <c:f>DataCopy!$E$2:$E$25</c:f>
              <c:numCache>
                <c:formatCode>General</c:formatCode>
                <c:ptCount val="24"/>
                <c:pt idx="0">
                  <c:v>928</c:v>
                </c:pt>
                <c:pt idx="1">
                  <c:v>1327</c:v>
                </c:pt>
                <c:pt idx="2">
                  <c:v>22225</c:v>
                </c:pt>
                <c:pt idx="3">
                  <c:v>350</c:v>
                </c:pt>
                <c:pt idx="4">
                  <c:v>20397</c:v>
                </c:pt>
                <c:pt idx="5">
                  <c:v>1182</c:v>
                </c:pt>
                <c:pt idx="6">
                  <c:v>3601</c:v>
                </c:pt>
                <c:pt idx="7">
                  <c:v>1178</c:v>
                </c:pt>
                <c:pt idx="8">
                  <c:v>11280</c:v>
                </c:pt>
                <c:pt idx="9">
                  <c:v>611</c:v>
                </c:pt>
                <c:pt idx="10">
                  <c:v>1964</c:v>
                </c:pt>
                <c:pt idx="11">
                  <c:v>1324</c:v>
                </c:pt>
                <c:pt idx="12">
                  <c:v>458</c:v>
                </c:pt>
                <c:pt idx="13">
                  <c:v>1407</c:v>
                </c:pt>
                <c:pt idx="14">
                  <c:v>522</c:v>
                </c:pt>
                <c:pt idx="15">
                  <c:v>5976</c:v>
                </c:pt>
                <c:pt idx="16">
                  <c:v>377</c:v>
                </c:pt>
                <c:pt idx="17">
                  <c:v>2266</c:v>
                </c:pt>
                <c:pt idx="18">
                  <c:v>7352</c:v>
                </c:pt>
                <c:pt idx="19">
                  <c:v>3671</c:v>
                </c:pt>
                <c:pt idx="20">
                  <c:v>3012</c:v>
                </c:pt>
                <c:pt idx="21">
                  <c:v>3405</c:v>
                </c:pt>
                <c:pt idx="22">
                  <c:v>1464</c:v>
                </c:pt>
                <c:pt idx="23">
                  <c:v>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64-4611-82F5-837D406BE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0058080"/>
        <c:axId val="660055560"/>
      </c:barChart>
      <c:catAx>
        <c:axId val="66005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55560"/>
        <c:crosses val="autoZero"/>
        <c:auto val="1"/>
        <c:lblAlgn val="ctr"/>
        <c:lblOffset val="100"/>
        <c:noMultiLvlLbl val="0"/>
      </c:catAx>
      <c:valAx>
        <c:axId val="66005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5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of Stargazers and Forks by Programming Language</a:t>
            </a:r>
          </a:p>
        </c:rich>
      </c:tx>
      <c:layout>
        <c:manualLayout>
          <c:xMode val="edge"/>
          <c:yMode val="edge"/>
          <c:x val="0.12221522309711289"/>
          <c:y val="4.62962962962962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DataCopy!$M$2</c:f>
              <c:strCache>
                <c:ptCount val="1"/>
                <c:pt idx="0">
                  <c:v>Average of Stargazers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DataCopy!$I$3:$I$13</c:f>
              <c:strCache>
                <c:ptCount val="11"/>
                <c:pt idx="0">
                  <c:v>Java</c:v>
                </c:pt>
                <c:pt idx="1">
                  <c:v>GDScript</c:v>
                </c:pt>
                <c:pt idx="2">
                  <c:v>Python</c:v>
                </c:pt>
                <c:pt idx="3">
                  <c:v>Kotlin</c:v>
                </c:pt>
                <c:pt idx="4">
                  <c:v>Go</c:v>
                </c:pt>
                <c:pt idx="5">
                  <c:v>Swift</c:v>
                </c:pt>
                <c:pt idx="6">
                  <c:v>Rust</c:v>
                </c:pt>
                <c:pt idx="7">
                  <c:v>TypeScript</c:v>
                </c:pt>
                <c:pt idx="8">
                  <c:v>Jupyter Notebook</c:v>
                </c:pt>
                <c:pt idx="9">
                  <c:v>PowerShell</c:v>
                </c:pt>
                <c:pt idx="10">
                  <c:v>C++</c:v>
                </c:pt>
              </c:strCache>
            </c:strRef>
          </c:cat>
          <c:val>
            <c:numRef>
              <c:f>DataCopy!$M$3:$M$13</c:f>
              <c:numCache>
                <c:formatCode>General</c:formatCode>
                <c:ptCount val="11"/>
                <c:pt idx="0">
                  <c:v>3913</c:v>
                </c:pt>
                <c:pt idx="1">
                  <c:v>3759</c:v>
                </c:pt>
                <c:pt idx="2">
                  <c:v>52680.5</c:v>
                </c:pt>
                <c:pt idx="3">
                  <c:v>5313.5</c:v>
                </c:pt>
                <c:pt idx="4">
                  <c:v>3020</c:v>
                </c:pt>
                <c:pt idx="5">
                  <c:v>24424</c:v>
                </c:pt>
                <c:pt idx="6">
                  <c:v>9374.5</c:v>
                </c:pt>
                <c:pt idx="7">
                  <c:v>29529.714285714286</c:v>
                </c:pt>
                <c:pt idx="8">
                  <c:v>9075</c:v>
                </c:pt>
                <c:pt idx="9">
                  <c:v>8089</c:v>
                </c:pt>
                <c:pt idx="10">
                  <c:v>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D-4A3C-852B-42F90BC4F2E6}"/>
            </c:ext>
          </c:extLst>
        </c:ser>
        <c:ser>
          <c:idx val="1"/>
          <c:order val="1"/>
          <c:tx>
            <c:strRef>
              <c:f>DataCopy!$N$2</c:f>
              <c:strCache>
                <c:ptCount val="1"/>
                <c:pt idx="0">
                  <c:v>Average of Forks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DataCopy!$I$3:$I$13</c:f>
              <c:strCache>
                <c:ptCount val="11"/>
                <c:pt idx="0">
                  <c:v>Java</c:v>
                </c:pt>
                <c:pt idx="1">
                  <c:v>GDScript</c:v>
                </c:pt>
                <c:pt idx="2">
                  <c:v>Python</c:v>
                </c:pt>
                <c:pt idx="3">
                  <c:v>Kotlin</c:v>
                </c:pt>
                <c:pt idx="4">
                  <c:v>Go</c:v>
                </c:pt>
                <c:pt idx="5">
                  <c:v>Swift</c:v>
                </c:pt>
                <c:pt idx="6">
                  <c:v>Rust</c:v>
                </c:pt>
                <c:pt idx="7">
                  <c:v>TypeScript</c:v>
                </c:pt>
                <c:pt idx="8">
                  <c:v>Jupyter Notebook</c:v>
                </c:pt>
                <c:pt idx="9">
                  <c:v>PowerShell</c:v>
                </c:pt>
                <c:pt idx="10">
                  <c:v>C++</c:v>
                </c:pt>
              </c:strCache>
            </c:strRef>
          </c:cat>
          <c:val>
            <c:numRef>
              <c:f>DataCopy!$N$3:$N$13</c:f>
              <c:numCache>
                <c:formatCode>General</c:formatCode>
                <c:ptCount val="11"/>
                <c:pt idx="0">
                  <c:v>928</c:v>
                </c:pt>
                <c:pt idx="1">
                  <c:v>1327</c:v>
                </c:pt>
                <c:pt idx="2">
                  <c:v>8697.3333333333339</c:v>
                </c:pt>
                <c:pt idx="3">
                  <c:v>363.5</c:v>
                </c:pt>
                <c:pt idx="4">
                  <c:v>1182</c:v>
                </c:pt>
                <c:pt idx="5">
                  <c:v>3601</c:v>
                </c:pt>
                <c:pt idx="6">
                  <c:v>818</c:v>
                </c:pt>
                <c:pt idx="7">
                  <c:v>4555.5714285714284</c:v>
                </c:pt>
                <c:pt idx="8">
                  <c:v>1324</c:v>
                </c:pt>
                <c:pt idx="9">
                  <c:v>3012</c:v>
                </c:pt>
                <c:pt idx="10">
                  <c:v>1464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7D-4A3C-852B-42F90BC4F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1621304"/>
        <c:axId val="621621664"/>
      </c:barChart>
      <c:catAx>
        <c:axId val="621621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621664"/>
        <c:crosses val="autoZero"/>
        <c:auto val="1"/>
        <c:lblAlgn val="ctr"/>
        <c:lblOffset val="100"/>
        <c:noMultiLvlLbl val="0"/>
      </c:catAx>
      <c:valAx>
        <c:axId val="62162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621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Sums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841915085817526E-2"/>
          <c:y val="0.15369738339021619"/>
          <c:w val="0.95031616982836498"/>
          <c:h val="0.72163398517164878"/>
        </c:manualLayout>
      </c:layout>
      <c:ofPieChart>
        <c:ofPieType val="bar"/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5A5-4B59-84FA-D7917FCC0B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5A5-4B59-84FA-D7917FCC0B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5A5-4B59-84FA-D7917FCC0B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5A5-4B59-84FA-D7917FCC0B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DataCopy!$J$2:$L$2</c:f>
              <c:strCache>
                <c:ptCount val="3"/>
                <c:pt idx="0">
                  <c:v>Sum of Stargazers</c:v>
                </c:pt>
                <c:pt idx="1">
                  <c:v>Sum of Forks</c:v>
                </c:pt>
                <c:pt idx="2">
                  <c:v>Sum of Starred Today</c:v>
                </c:pt>
              </c:strCache>
            </c:strRef>
          </c:cat>
          <c:val>
            <c:numRef>
              <c:f>DataCopy!$J$14:$L$14</c:f>
              <c:numCache>
                <c:formatCode>_(* #,##0_);_(* \(#,##0\);_(* "-"??_);_(@_)</c:formatCode>
                <c:ptCount val="3"/>
                <c:pt idx="0">
                  <c:v>609018</c:v>
                </c:pt>
                <c:pt idx="1">
                  <c:v>99274</c:v>
                </c:pt>
                <c:pt idx="2">
                  <c:v>1010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A5-4B59-84FA-D7917FCC0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50"/>
        <c:secondPieSize val="75"/>
        <c:serLines>
          <c:spPr>
            <a:ln w="9525" cap="flat" cmpd="sng" algn="ctr">
              <a:solidFill>
                <a:schemeClr val="lt1">
                  <a:lumMod val="95000"/>
                  <a:alpha val="54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Starred Today</a:t>
            </a:r>
          </a:p>
          <a:p>
            <a:pPr>
              <a:defRPr/>
            </a:pPr>
            <a:r>
              <a:rPr lang="en-US"/>
              <a:t>by</a:t>
            </a:r>
            <a:r>
              <a:rPr lang="en-US" baseline="0"/>
              <a:t> Programming Language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DataCopy!$L$2</c:f>
              <c:strCache>
                <c:ptCount val="1"/>
                <c:pt idx="0">
                  <c:v>Sum of Starred Today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DataCopy!$I$3:$I$13</c:f>
              <c:strCache>
                <c:ptCount val="11"/>
                <c:pt idx="0">
                  <c:v>Java</c:v>
                </c:pt>
                <c:pt idx="1">
                  <c:v>GDScript</c:v>
                </c:pt>
                <c:pt idx="2">
                  <c:v>Python</c:v>
                </c:pt>
                <c:pt idx="3">
                  <c:v>Kotlin</c:v>
                </c:pt>
                <c:pt idx="4">
                  <c:v>Go</c:v>
                </c:pt>
                <c:pt idx="5">
                  <c:v>Swift</c:v>
                </c:pt>
                <c:pt idx="6">
                  <c:v>Rust</c:v>
                </c:pt>
                <c:pt idx="7">
                  <c:v>TypeScript</c:v>
                </c:pt>
                <c:pt idx="8">
                  <c:v>Jupyter Notebook</c:v>
                </c:pt>
                <c:pt idx="9">
                  <c:v>PowerShell</c:v>
                </c:pt>
                <c:pt idx="10">
                  <c:v>C++</c:v>
                </c:pt>
              </c:strCache>
            </c:strRef>
          </c:cat>
          <c:val>
            <c:numRef>
              <c:f>DataCopy!$L$3:$L$13</c:f>
              <c:numCache>
                <c:formatCode>_(* #,##0_);_(* \(#,##0\);_(* "-"??_);_(@_)</c:formatCode>
                <c:ptCount val="11"/>
                <c:pt idx="0">
                  <c:v>61</c:v>
                </c:pt>
                <c:pt idx="1">
                  <c:v>93</c:v>
                </c:pt>
                <c:pt idx="2">
                  <c:v>381</c:v>
                </c:pt>
                <c:pt idx="3">
                  <c:v>19</c:v>
                </c:pt>
                <c:pt idx="4">
                  <c:v>22</c:v>
                </c:pt>
                <c:pt idx="5">
                  <c:v>15</c:v>
                </c:pt>
                <c:pt idx="6">
                  <c:v>22</c:v>
                </c:pt>
                <c:pt idx="7">
                  <c:v>356</c:v>
                </c:pt>
                <c:pt idx="8">
                  <c:v>20</c:v>
                </c:pt>
                <c:pt idx="9">
                  <c:v>3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B-478F-81FF-475A3646B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1627064"/>
        <c:axId val="621624184"/>
      </c:barChart>
      <c:catAx>
        <c:axId val="621627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624184"/>
        <c:crosses val="autoZero"/>
        <c:auto val="1"/>
        <c:lblAlgn val="ctr"/>
        <c:lblOffset val="100"/>
        <c:noMultiLvlLbl val="0"/>
      </c:catAx>
      <c:valAx>
        <c:axId val="62162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6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of Starred Today</a:t>
            </a:r>
          </a:p>
          <a:p>
            <a:pPr>
              <a:defRPr/>
            </a:pPr>
            <a:r>
              <a:rPr lang="en-US"/>
              <a:t>by Programming Language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DataCopy!$O$2</c:f>
              <c:strCache>
                <c:ptCount val="1"/>
                <c:pt idx="0">
                  <c:v>Average of Starred Today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DataCopy!$I$3:$I$13</c:f>
              <c:strCache>
                <c:ptCount val="11"/>
                <c:pt idx="0">
                  <c:v>Java</c:v>
                </c:pt>
                <c:pt idx="1">
                  <c:v>GDScript</c:v>
                </c:pt>
                <c:pt idx="2">
                  <c:v>Python</c:v>
                </c:pt>
                <c:pt idx="3">
                  <c:v>Kotlin</c:v>
                </c:pt>
                <c:pt idx="4">
                  <c:v>Go</c:v>
                </c:pt>
                <c:pt idx="5">
                  <c:v>Swift</c:v>
                </c:pt>
                <c:pt idx="6">
                  <c:v>Rust</c:v>
                </c:pt>
                <c:pt idx="7">
                  <c:v>TypeScript</c:v>
                </c:pt>
                <c:pt idx="8">
                  <c:v>Jupyter Notebook</c:v>
                </c:pt>
                <c:pt idx="9">
                  <c:v>PowerShell</c:v>
                </c:pt>
                <c:pt idx="10">
                  <c:v>C++</c:v>
                </c:pt>
              </c:strCache>
            </c:strRef>
          </c:cat>
          <c:val>
            <c:numRef>
              <c:f>DataCopy!$O$3:$O$13</c:f>
              <c:numCache>
                <c:formatCode>General</c:formatCode>
                <c:ptCount val="11"/>
                <c:pt idx="0">
                  <c:v>61</c:v>
                </c:pt>
                <c:pt idx="1">
                  <c:v>93</c:v>
                </c:pt>
                <c:pt idx="2">
                  <c:v>63.5</c:v>
                </c:pt>
                <c:pt idx="3">
                  <c:v>9.5</c:v>
                </c:pt>
                <c:pt idx="4">
                  <c:v>22</c:v>
                </c:pt>
                <c:pt idx="5">
                  <c:v>15</c:v>
                </c:pt>
                <c:pt idx="6">
                  <c:v>11</c:v>
                </c:pt>
                <c:pt idx="7">
                  <c:v>50.857142857142854</c:v>
                </c:pt>
                <c:pt idx="8">
                  <c:v>20</c:v>
                </c:pt>
                <c:pt idx="9">
                  <c:v>3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16-42EE-B562-824F69886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621658024"/>
        <c:axId val="621648664"/>
      </c:barChart>
      <c:catAx>
        <c:axId val="621658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648664"/>
        <c:crosses val="autoZero"/>
        <c:auto val="1"/>
        <c:lblAlgn val="ctr"/>
        <c:lblOffset val="100"/>
        <c:noMultiLvlLbl val="0"/>
      </c:catAx>
      <c:valAx>
        <c:axId val="621648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65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Sum of Stargazers by Programming Language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6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/>
            </a:rPr>
            <a:t>Sum of Stargazers by Programming Language</a:t>
          </a:r>
        </a:p>
      </cx:txPr>
    </cx:title>
    <cx:plotArea>
      <cx:plotAreaRegion>
        <cx:series layoutId="treemap" uniqueId="{0B01DE67-0166-4CBC-A31D-90CEA451EF01}">
          <cx:tx>
            <cx:txData>
              <cx:f>_xlchart.v1.1</cx:f>
              <cx:v>Sum of Stargazers</cx:v>
            </cx:txData>
          </cx:tx>
          <cx:dataLabels pos="inEnd"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5">
  <cs:axisTitle>
    <cs:lnRef idx="0"/>
    <cs:fillRef idx="0"/>
    <cs:effectRef idx="0"/>
    <cs:fontRef idx="minor">
      <a:schemeClr val="lt1">
        <a:lumMod val="95000"/>
      </a:schemeClr>
    </cs:fontRef>
    <cs:spPr>
      <a:solidFill>
        <a:schemeClr val="bg1">
          <a:lumMod val="65000"/>
        </a:schemeClr>
      </a:solidFill>
      <a:ln>
        <a:solidFill>
          <a:schemeClr val="tx1"/>
        </a:solidFill>
      </a:ln>
    </cs:spPr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53340</xdr:rowOff>
    </xdr:from>
    <xdr:to>
      <xdr:col>12</xdr:col>
      <xdr:colOff>83820</xdr:colOff>
      <xdr:row>42</xdr:row>
      <xdr:rowOff>7620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3E0DF1A0-BDC3-2B0D-6411-55AD9A1CB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609600</xdr:colOff>
      <xdr:row>0</xdr:row>
      <xdr:rowOff>11430</xdr:rowOff>
    </xdr:from>
    <xdr:to>
      <xdr:col>18</xdr:col>
      <xdr:colOff>152400</xdr:colOff>
      <xdr:row>23</xdr:row>
      <xdr:rowOff>45720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2">
              <a:extLst>
                <a:ext uri="{FF2B5EF4-FFF2-40B4-BE49-F238E27FC236}">
                  <a16:creationId xmlns:a16="http://schemas.microsoft.com/office/drawing/2014/main" id="{54DDDE3C-EABA-7FD9-3819-C40EFE6C5B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47360" y="11430"/>
              <a:ext cx="6332220" cy="42405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5</xdr:row>
      <xdr:rowOff>7620</xdr:rowOff>
    </xdr:from>
    <xdr:to>
      <xdr:col>8</xdr:col>
      <xdr:colOff>0</xdr:colOff>
      <xdr:row>23</xdr:row>
      <xdr:rowOff>45720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840E78E2-01E4-B29C-80D7-65CF37FD8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83820</xdr:colOff>
      <xdr:row>23</xdr:row>
      <xdr:rowOff>53340</xdr:rowOff>
    </xdr:from>
    <xdr:to>
      <xdr:col>18</xdr:col>
      <xdr:colOff>152400</xdr:colOff>
      <xdr:row>42</xdr:row>
      <xdr:rowOff>7620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F9C737DD-00B3-E109-E264-34AB5471EC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152400</xdr:colOff>
      <xdr:row>16</xdr:row>
      <xdr:rowOff>91440</xdr:rowOff>
    </xdr:from>
    <xdr:to>
      <xdr:col>25</xdr:col>
      <xdr:colOff>571500</xdr:colOff>
      <xdr:row>42</xdr:row>
      <xdr:rowOff>7620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E62462F5-87B8-F0BA-D37C-EE903A2BFD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160020</xdr:colOff>
      <xdr:row>0</xdr:row>
      <xdr:rowOff>0</xdr:rowOff>
    </xdr:from>
    <xdr:to>
      <xdr:col>25</xdr:col>
      <xdr:colOff>571500</xdr:colOff>
      <xdr:row>16</xdr:row>
      <xdr:rowOff>83820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97CC359A-AFE6-2496-E8F6-48A1F1E81C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A8544-0A1E-46B5-A9D1-0A37D9B7EDF5}">
  <sheetPr codeName="Sheet1"/>
  <dimension ref="A1:I27"/>
  <sheetViews>
    <sheetView workbookViewId="0">
      <selection activeCell="F2" sqref="F2"/>
    </sheetView>
  </sheetViews>
  <sheetFormatPr defaultRowHeight="14.4" x14ac:dyDescent="0.3"/>
  <cols>
    <col min="1" max="1" width="51.44140625" bestFit="1" customWidth="1"/>
    <col min="2" max="2" width="80.88671875" bestFit="1" customWidth="1"/>
    <col min="3" max="3" width="27" bestFit="1" customWidth="1"/>
    <col min="4" max="4" width="9.33203125" bestFit="1" customWidth="1"/>
    <col min="5" max="5" width="6.44140625" bestFit="1" customWidth="1"/>
    <col min="6" max="6" width="11.6640625" bestFit="1" customWidth="1"/>
    <col min="7" max="7" width="34.88671875" bestFit="1" customWidth="1"/>
    <col min="9" max="9" width="27.88671875" style="4" bestFit="1" customWidth="1"/>
    <col min="10" max="10" width="16.109375" bestFit="1" customWidth="1"/>
    <col min="11" max="11" width="11.88671875" bestFit="1" customWidth="1"/>
    <col min="12" max="12" width="18.77734375" bestFit="1" customWidth="1"/>
  </cols>
  <sheetData>
    <row r="1" spans="1:9" x14ac:dyDescent="0.3">
      <c r="A1" t="s">
        <v>0</v>
      </c>
      <c r="B1" t="s">
        <v>7</v>
      </c>
      <c r="C1" t="s">
        <v>8</v>
      </c>
      <c r="D1" t="s">
        <v>9</v>
      </c>
      <c r="E1" t="s">
        <v>10</v>
      </c>
      <c r="F1" t="s">
        <v>72</v>
      </c>
      <c r="I1"/>
    </row>
    <row r="2" spans="1:9" x14ac:dyDescent="0.3">
      <c r="A2" t="s">
        <v>24</v>
      </c>
      <c r="B2" t="s">
        <v>25</v>
      </c>
      <c r="C2" t="s">
        <v>19</v>
      </c>
      <c r="D2" s="1">
        <v>3913</v>
      </c>
      <c r="E2">
        <v>928</v>
      </c>
      <c r="F2">
        <v>61</v>
      </c>
      <c r="I2"/>
    </row>
    <row r="3" spans="1:9" x14ac:dyDescent="0.3">
      <c r="A3" t="s">
        <v>1</v>
      </c>
      <c r="B3" t="s">
        <v>11</v>
      </c>
      <c r="C3" t="s">
        <v>12</v>
      </c>
      <c r="D3" s="1">
        <v>3759</v>
      </c>
      <c r="E3" s="1">
        <v>1327</v>
      </c>
      <c r="F3">
        <v>93</v>
      </c>
      <c r="I3"/>
    </row>
    <row r="4" spans="1:9" x14ac:dyDescent="0.3">
      <c r="A4" t="s">
        <v>5</v>
      </c>
      <c r="B4" t="s">
        <v>21</v>
      </c>
      <c r="C4" t="s">
        <v>15</v>
      </c>
      <c r="D4" s="1">
        <v>111900</v>
      </c>
      <c r="E4" s="1">
        <v>22225</v>
      </c>
      <c r="F4">
        <v>53</v>
      </c>
      <c r="I4"/>
    </row>
    <row r="5" spans="1:9" x14ac:dyDescent="0.3">
      <c r="A5" t="s">
        <v>26</v>
      </c>
      <c r="B5" t="s">
        <v>27</v>
      </c>
      <c r="C5" t="s">
        <v>28</v>
      </c>
      <c r="D5" s="1">
        <v>6212</v>
      </c>
      <c r="E5">
        <v>350</v>
      </c>
      <c r="F5">
        <v>6</v>
      </c>
      <c r="I5"/>
    </row>
    <row r="6" spans="1:9" x14ac:dyDescent="0.3">
      <c r="A6" t="s">
        <v>3</v>
      </c>
      <c r="B6" t="s">
        <v>17</v>
      </c>
      <c r="C6" t="s">
        <v>15</v>
      </c>
      <c r="D6" s="1">
        <v>102252</v>
      </c>
      <c r="E6" s="1">
        <v>20397</v>
      </c>
      <c r="F6">
        <v>114</v>
      </c>
      <c r="I6"/>
    </row>
    <row r="7" spans="1:9" x14ac:dyDescent="0.3">
      <c r="A7" t="s">
        <v>29</v>
      </c>
      <c r="B7" t="s">
        <v>30</v>
      </c>
      <c r="C7" t="s">
        <v>20</v>
      </c>
      <c r="D7" s="1">
        <v>3020</v>
      </c>
      <c r="E7" s="1">
        <v>1182</v>
      </c>
      <c r="F7">
        <v>22</v>
      </c>
      <c r="I7"/>
    </row>
    <row r="8" spans="1:9" x14ac:dyDescent="0.3">
      <c r="A8" t="s">
        <v>31</v>
      </c>
      <c r="B8" t="s">
        <v>32</v>
      </c>
      <c r="C8" t="s">
        <v>33</v>
      </c>
      <c r="D8" s="1">
        <v>24424</v>
      </c>
      <c r="E8" s="1">
        <v>3601</v>
      </c>
      <c r="F8">
        <v>15</v>
      </c>
      <c r="I8"/>
    </row>
    <row r="9" spans="1:9" x14ac:dyDescent="0.3">
      <c r="A9" t="s">
        <v>34</v>
      </c>
      <c r="B9" t="s">
        <v>35</v>
      </c>
      <c r="C9" t="s">
        <v>16</v>
      </c>
      <c r="D9" s="1">
        <v>16443</v>
      </c>
      <c r="E9" s="1">
        <v>1178</v>
      </c>
      <c r="F9">
        <v>14</v>
      </c>
      <c r="I9"/>
    </row>
    <row r="10" spans="1:9" x14ac:dyDescent="0.3">
      <c r="A10" t="s">
        <v>4</v>
      </c>
      <c r="B10" t="s">
        <v>18</v>
      </c>
      <c r="C10" t="s">
        <v>14</v>
      </c>
      <c r="D10" s="1">
        <v>54174</v>
      </c>
      <c r="E10" s="1">
        <v>11280</v>
      </c>
      <c r="F10">
        <v>12</v>
      </c>
      <c r="I10"/>
    </row>
    <row r="11" spans="1:9" x14ac:dyDescent="0.3">
      <c r="A11" t="s">
        <v>36</v>
      </c>
      <c r="B11" t="s">
        <v>37</v>
      </c>
      <c r="C11" t="s">
        <v>14</v>
      </c>
      <c r="D11" s="1">
        <v>14578</v>
      </c>
      <c r="E11">
        <v>611</v>
      </c>
      <c r="F11">
        <v>43</v>
      </c>
      <c r="I11"/>
    </row>
    <row r="12" spans="1:9" x14ac:dyDescent="0.3">
      <c r="A12" t="s">
        <v>38</v>
      </c>
      <c r="B12" t="e" cm="1">
        <f t="array" ref="B12">- a deep learning toolkit for Text-to-Speech, battle-tested in research and production</f>
        <v>#NAME?</v>
      </c>
      <c r="C12" t="s">
        <v>15</v>
      </c>
      <c r="D12" s="1">
        <v>15224</v>
      </c>
      <c r="E12" s="1">
        <v>1964</v>
      </c>
      <c r="F12">
        <v>164</v>
      </c>
      <c r="I12"/>
    </row>
    <row r="13" spans="1:9" x14ac:dyDescent="0.3">
      <c r="A13" t="s">
        <v>39</v>
      </c>
      <c r="B13" t="s">
        <v>40</v>
      </c>
      <c r="C13" t="s">
        <v>41</v>
      </c>
      <c r="D13" s="1">
        <v>9075</v>
      </c>
      <c r="E13" s="1">
        <v>1324</v>
      </c>
      <c r="F13">
        <v>20</v>
      </c>
      <c r="I13"/>
    </row>
    <row r="14" spans="1:9" x14ac:dyDescent="0.3">
      <c r="A14" t="s">
        <v>42</v>
      </c>
      <c r="B14" t="s">
        <v>43</v>
      </c>
      <c r="C14" t="s">
        <v>16</v>
      </c>
      <c r="D14" s="1">
        <v>2306</v>
      </c>
      <c r="E14">
        <v>458</v>
      </c>
      <c r="F14">
        <v>8</v>
      </c>
      <c r="I14"/>
    </row>
    <row r="15" spans="1:9" x14ac:dyDescent="0.3">
      <c r="A15" t="s">
        <v>2</v>
      </c>
      <c r="B15" t="s">
        <v>13</v>
      </c>
      <c r="C15" t="s">
        <v>14</v>
      </c>
      <c r="D15" s="1">
        <v>25452</v>
      </c>
      <c r="E15" s="1">
        <v>1407</v>
      </c>
      <c r="F15">
        <v>260</v>
      </c>
      <c r="I15"/>
    </row>
    <row r="16" spans="1:9" x14ac:dyDescent="0.3">
      <c r="A16" t="s">
        <v>44</v>
      </c>
      <c r="B16" t="s">
        <v>45</v>
      </c>
      <c r="C16" t="s">
        <v>15</v>
      </c>
      <c r="D16" s="1">
        <v>9886</v>
      </c>
      <c r="E16">
        <v>522</v>
      </c>
      <c r="F16">
        <v>31</v>
      </c>
      <c r="I16"/>
    </row>
    <row r="17" spans="1:9" x14ac:dyDescent="0.3">
      <c r="A17" t="s">
        <v>46</v>
      </c>
      <c r="B17" t="s">
        <v>47</v>
      </c>
      <c r="C17" t="s">
        <v>14</v>
      </c>
      <c r="D17" s="1">
        <v>32079</v>
      </c>
      <c r="E17" s="1">
        <v>5976</v>
      </c>
      <c r="F17">
        <v>6</v>
      </c>
      <c r="I17"/>
    </row>
    <row r="18" spans="1:9" x14ac:dyDescent="0.3">
      <c r="A18" t="s">
        <v>48</v>
      </c>
      <c r="B18" t="s">
        <v>49</v>
      </c>
      <c r="C18" t="s">
        <v>28</v>
      </c>
      <c r="D18" s="1">
        <v>4415</v>
      </c>
      <c r="E18">
        <v>377</v>
      </c>
      <c r="F18">
        <v>13</v>
      </c>
      <c r="I18"/>
    </row>
    <row r="19" spans="1:9" x14ac:dyDescent="0.3">
      <c r="A19" t="s">
        <v>50</v>
      </c>
      <c r="B19" t="s">
        <v>51</v>
      </c>
      <c r="C19" t="s">
        <v>14</v>
      </c>
      <c r="D19" s="1">
        <v>11129</v>
      </c>
      <c r="E19" s="1">
        <v>2266</v>
      </c>
      <c r="F19">
        <v>1</v>
      </c>
      <c r="I19"/>
    </row>
    <row r="20" spans="1:9" x14ac:dyDescent="0.3">
      <c r="A20" t="s">
        <v>52</v>
      </c>
      <c r="B20" t="s">
        <v>53</v>
      </c>
      <c r="C20" t="s">
        <v>14</v>
      </c>
      <c r="D20" s="1">
        <v>40244</v>
      </c>
      <c r="E20" s="1">
        <v>7352</v>
      </c>
      <c r="F20">
        <v>22</v>
      </c>
      <c r="I20"/>
    </row>
    <row r="21" spans="1:9" x14ac:dyDescent="0.3">
      <c r="A21" t="s">
        <v>54</v>
      </c>
      <c r="B21" t="s">
        <v>55</v>
      </c>
      <c r="C21" t="s">
        <v>15</v>
      </c>
      <c r="D21" s="1">
        <v>48463</v>
      </c>
      <c r="E21" s="1">
        <v>3671</v>
      </c>
      <c r="F21">
        <v>8</v>
      </c>
      <c r="I21"/>
    </row>
    <row r="22" spans="1:9" x14ac:dyDescent="0.3">
      <c r="A22" t="s">
        <v>56</v>
      </c>
      <c r="B22" t="s">
        <v>57</v>
      </c>
      <c r="C22" t="s">
        <v>58</v>
      </c>
      <c r="D22" s="1">
        <v>8089</v>
      </c>
      <c r="E22" s="1">
        <v>3012</v>
      </c>
      <c r="F22">
        <v>3</v>
      </c>
      <c r="I22"/>
    </row>
    <row r="23" spans="1:9" x14ac:dyDescent="0.3">
      <c r="A23" t="s">
        <v>59</v>
      </c>
      <c r="B23" t="s">
        <v>60</v>
      </c>
      <c r="C23" t="s">
        <v>15</v>
      </c>
      <c r="D23" s="1">
        <v>28358</v>
      </c>
      <c r="E23" s="1">
        <v>3405</v>
      </c>
      <c r="F23">
        <v>11</v>
      </c>
      <c r="I23"/>
    </row>
    <row r="24" spans="1:9" x14ac:dyDescent="0.3">
      <c r="A24" t="s">
        <v>6</v>
      </c>
      <c r="B24" t="s">
        <v>23</v>
      </c>
      <c r="C24" t="s">
        <v>22</v>
      </c>
      <c r="D24" s="1">
        <v>4571</v>
      </c>
      <c r="E24" s="1">
        <v>1464</v>
      </c>
      <c r="F24">
        <v>18</v>
      </c>
      <c r="I24"/>
    </row>
    <row r="25" spans="1:9" x14ac:dyDescent="0.3">
      <c r="A25" t="s">
        <v>61</v>
      </c>
      <c r="B25" t="s">
        <v>62</v>
      </c>
      <c r="C25" t="s">
        <v>14</v>
      </c>
      <c r="D25" s="1">
        <v>29052</v>
      </c>
      <c r="E25" s="1">
        <v>2997</v>
      </c>
      <c r="F25">
        <v>12</v>
      </c>
      <c r="I25"/>
    </row>
    <row r="26" spans="1:9" x14ac:dyDescent="0.3">
      <c r="I26"/>
    </row>
    <row r="27" spans="1:9" x14ac:dyDescent="0.3">
      <c r="I2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67620-564C-439D-BBD9-35DC92ADD933}">
  <dimension ref="A1:O26"/>
  <sheetViews>
    <sheetView topLeftCell="B1" workbookViewId="0">
      <selection sqref="A1:G25"/>
    </sheetView>
  </sheetViews>
  <sheetFormatPr defaultRowHeight="14.4" x14ac:dyDescent="0.3"/>
  <cols>
    <col min="1" max="1" width="51.44140625" bestFit="1" customWidth="1"/>
    <col min="2" max="2" width="95" customWidth="1"/>
    <col min="3" max="3" width="27" bestFit="1" customWidth="1"/>
    <col min="7" max="7" width="34.88671875" bestFit="1" customWidth="1"/>
    <col min="9" max="9" width="33.33203125" bestFit="1" customWidth="1"/>
    <col min="10" max="10" width="15.5546875" bestFit="1" customWidth="1"/>
    <col min="11" max="11" width="11.44140625" bestFit="1" customWidth="1"/>
    <col min="12" max="12" width="18.6640625" bestFit="1" customWidth="1"/>
    <col min="13" max="13" width="18.77734375" bestFit="1" customWidth="1"/>
    <col min="14" max="14" width="14.6640625" bestFit="1" customWidth="1"/>
    <col min="15" max="15" width="21.88671875" bestFit="1" customWidth="1"/>
  </cols>
  <sheetData>
    <row r="1" spans="1:15" x14ac:dyDescent="0.3">
      <c r="A1" s="1" t="str">
        <f>Data!A1</f>
        <v>Repository</v>
      </c>
      <c r="B1" t="str">
        <f>Data!B1</f>
        <v>Description</v>
      </c>
      <c r="C1" t="str">
        <f>Data!C1</f>
        <v>Primary Programming Language</v>
      </c>
      <c r="D1" t="str">
        <f>Data!D1</f>
        <v>Stargazers</v>
      </c>
      <c r="E1" t="str">
        <f>Data!E1</f>
        <v>Forks</v>
      </c>
      <c r="F1" t="str">
        <f>Data!F1</f>
        <v>Stared Today</v>
      </c>
      <c r="G1" t="s">
        <v>63</v>
      </c>
    </row>
    <row r="2" spans="1:15" x14ac:dyDescent="0.3">
      <c r="A2" s="1" t="str">
        <f>Data!A2</f>
        <v>https://github.com/apache/iotdb</v>
      </c>
      <c r="B2" t="str">
        <f>Data!B2</f>
        <v>Apache IoTDB</v>
      </c>
      <c r="C2" t="str">
        <f>Data!C2</f>
        <v>Java</v>
      </c>
      <c r="D2">
        <f>Data!D2</f>
        <v>3913</v>
      </c>
      <c r="E2">
        <f>Data!E2</f>
        <v>928</v>
      </c>
      <c r="F2">
        <f>Data!F2</f>
        <v>61</v>
      </c>
      <c r="G2" t="str">
        <f>MID($A2, 20, 100)</f>
        <v>apache/iotdb</v>
      </c>
      <c r="I2" s="8" t="s">
        <v>64</v>
      </c>
      <c r="J2" s="9" t="s">
        <v>65</v>
      </c>
      <c r="K2" s="9" t="s">
        <v>66</v>
      </c>
      <c r="L2" s="9" t="s">
        <v>67</v>
      </c>
      <c r="M2" s="9" t="s">
        <v>69</v>
      </c>
      <c r="N2" s="9" t="s">
        <v>70</v>
      </c>
      <c r="O2" s="10" t="s">
        <v>71</v>
      </c>
    </row>
    <row r="3" spans="1:15" x14ac:dyDescent="0.3">
      <c r="A3" s="1" t="str">
        <f>Data!A3</f>
        <v>https://github.com/godotengine/godot-demo-projects</v>
      </c>
      <c r="B3" t="str">
        <f>Data!B3</f>
        <v>Demonstration and Template Projects</v>
      </c>
      <c r="C3" t="str">
        <f>Data!C3</f>
        <v>GDScript</v>
      </c>
      <c r="D3">
        <f>Data!D3</f>
        <v>3759</v>
      </c>
      <c r="E3">
        <f>Data!E3</f>
        <v>1327</v>
      </c>
      <c r="F3">
        <f>Data!F3</f>
        <v>93</v>
      </c>
      <c r="G3" t="str">
        <f t="shared" ref="G3:G25" si="0">MID($A3, 20, 100)</f>
        <v>godotengine/godot-demo-projects</v>
      </c>
      <c r="I3" s="6" t="str" cm="1">
        <f t="array" ref="I3:I13">_xlfn.UNIQUE(C2:C25)</f>
        <v>Java</v>
      </c>
      <c r="J3" s="7">
        <f>SUMIF($C$2:$C$25, $I3, D$2:D$25)</f>
        <v>3913</v>
      </c>
      <c r="K3" s="7">
        <f>SUMIF($C$2:$C$25, $I3, E$2:E$25)</f>
        <v>928</v>
      </c>
      <c r="L3" s="7">
        <f>SUMIF($C$2:$C$25, $I3, F$2:F$25)</f>
        <v>61</v>
      </c>
      <c r="M3">
        <f>AVERAGEIF($C$2:$C$25, $I3, D$2:D$25)</f>
        <v>3913</v>
      </c>
      <c r="N3">
        <f t="shared" ref="N3:O3" si="1">AVERAGEIF($C$2:$C$25, $I3, E$2:E$25)</f>
        <v>928</v>
      </c>
      <c r="O3" s="5">
        <f t="shared" si="1"/>
        <v>61</v>
      </c>
    </row>
    <row r="4" spans="1:15" x14ac:dyDescent="0.3">
      <c r="A4" s="1" t="str">
        <f>Data!A4</f>
        <v>https://github.com/huggingface/transformers</v>
      </c>
      <c r="B4" t="str">
        <f>Data!B4</f>
        <v>Transformers: State-of-the-art Machine Learning for Pytorch, TensorFlow, and JAX.</v>
      </c>
      <c r="C4" t="str">
        <f>Data!C4</f>
        <v>Python</v>
      </c>
      <c r="D4">
        <f>Data!D4</f>
        <v>111900</v>
      </c>
      <c r="E4">
        <f>Data!E4</f>
        <v>22225</v>
      </c>
      <c r="F4">
        <f>Data!F4</f>
        <v>53</v>
      </c>
      <c r="G4" t="str">
        <f t="shared" si="0"/>
        <v>huggingface/transformers</v>
      </c>
      <c r="I4" s="6" t="str">
        <v>GDScript</v>
      </c>
      <c r="J4" s="7">
        <f t="shared" ref="J4:J13" si="2">SUMIF($C$2:$C$25, $I4, D$2:D$25)</f>
        <v>3759</v>
      </c>
      <c r="K4" s="7">
        <f t="shared" ref="K4:K13" si="3">SUMIF($C$2:$C$25, $I4, E$2:E$25)</f>
        <v>1327</v>
      </c>
      <c r="L4" s="7">
        <f t="shared" ref="L4:L13" si="4">SUMIF($C$2:$C$25, $I4, F$2:F$25)</f>
        <v>93</v>
      </c>
      <c r="M4">
        <f t="shared" ref="M4:M13" si="5">AVERAGEIF($C$2:$C$25, $I4, D$2:D$25)</f>
        <v>3759</v>
      </c>
      <c r="N4">
        <f t="shared" ref="N4:N13" si="6">AVERAGEIF($C$2:$C$25, $I4, E$2:E$25)</f>
        <v>1327</v>
      </c>
      <c r="O4" s="5">
        <f t="shared" ref="O4:O13" si="7">AVERAGEIF($C$2:$C$25, $I4, F$2:F$25)</f>
        <v>93</v>
      </c>
    </row>
    <row r="5" spans="1:15" x14ac:dyDescent="0.3">
      <c r="A5" s="1" t="str">
        <f>Data!A5</f>
        <v>https://github.com/libre-tube/LibreTube</v>
      </c>
      <c r="B5" t="str">
        <f>Data!B5</f>
        <v>An alternative frontend for YouTube, for Android.</v>
      </c>
      <c r="C5" t="str">
        <f>Data!C5</f>
        <v>Kotlin</v>
      </c>
      <c r="D5">
        <f>Data!D5</f>
        <v>6212</v>
      </c>
      <c r="E5">
        <f>Data!E5</f>
        <v>350</v>
      </c>
      <c r="F5">
        <f>Data!F5</f>
        <v>6</v>
      </c>
      <c r="G5" t="str">
        <f t="shared" si="0"/>
        <v>libre-tube/LibreTube</v>
      </c>
      <c r="I5" s="6" t="str">
        <v>Python</v>
      </c>
      <c r="J5" s="7">
        <f t="shared" si="2"/>
        <v>316083</v>
      </c>
      <c r="K5" s="7">
        <f t="shared" si="3"/>
        <v>52184</v>
      </c>
      <c r="L5" s="7">
        <f t="shared" si="4"/>
        <v>381</v>
      </c>
      <c r="M5">
        <f t="shared" si="5"/>
        <v>52680.5</v>
      </c>
      <c r="N5">
        <f t="shared" si="6"/>
        <v>8697.3333333333339</v>
      </c>
      <c r="O5" s="5">
        <f t="shared" si="7"/>
        <v>63.5</v>
      </c>
    </row>
    <row r="6" spans="1:15" x14ac:dyDescent="0.3">
      <c r="A6" s="1" t="str">
        <f>Data!A6</f>
        <v>https://github.com/AUTOMATIC1111/stable-diffusion-webui</v>
      </c>
      <c r="B6" t="str">
        <f>Data!B6</f>
        <v>Stable Diffusion web UI</v>
      </c>
      <c r="C6" t="str">
        <f>Data!C6</f>
        <v>Python</v>
      </c>
      <c r="D6">
        <f>Data!D6</f>
        <v>102252</v>
      </c>
      <c r="E6">
        <f>Data!E6</f>
        <v>20397</v>
      </c>
      <c r="F6">
        <f>Data!F6</f>
        <v>114</v>
      </c>
      <c r="G6" t="str">
        <f t="shared" si="0"/>
        <v>AUTOMATIC1111/stable-diffusion-webui</v>
      </c>
      <c r="I6" s="6" t="str">
        <v>Kotlin</v>
      </c>
      <c r="J6" s="7">
        <f t="shared" si="2"/>
        <v>10627</v>
      </c>
      <c r="K6" s="7">
        <f t="shared" si="3"/>
        <v>727</v>
      </c>
      <c r="L6" s="7">
        <f t="shared" si="4"/>
        <v>19</v>
      </c>
      <c r="M6">
        <f t="shared" si="5"/>
        <v>5313.5</v>
      </c>
      <c r="N6">
        <f t="shared" si="6"/>
        <v>363.5</v>
      </c>
      <c r="O6" s="5">
        <f t="shared" si="7"/>
        <v>9.5</v>
      </c>
    </row>
    <row r="7" spans="1:15" x14ac:dyDescent="0.3">
      <c r="A7" s="1" t="str">
        <f>Data!A7</f>
        <v>https://github.com/meshery/meshery</v>
      </c>
      <c r="B7" t="str">
        <f>Data!B7</f>
        <v>Meshery, the cloud native manager</v>
      </c>
      <c r="C7" t="str">
        <f>Data!C7</f>
        <v>Go</v>
      </c>
      <c r="D7">
        <f>Data!D7</f>
        <v>3020</v>
      </c>
      <c r="E7">
        <f>Data!E7</f>
        <v>1182</v>
      </c>
      <c r="F7">
        <f>Data!F7</f>
        <v>22</v>
      </c>
      <c r="G7" t="str">
        <f t="shared" si="0"/>
        <v>meshery/meshery</v>
      </c>
      <c r="I7" s="6" t="str">
        <v>Go</v>
      </c>
      <c r="J7" s="7">
        <f t="shared" si="2"/>
        <v>3020</v>
      </c>
      <c r="K7" s="7">
        <f t="shared" si="3"/>
        <v>1182</v>
      </c>
      <c r="L7" s="7">
        <f t="shared" si="4"/>
        <v>22</v>
      </c>
      <c r="M7">
        <f t="shared" si="5"/>
        <v>3020</v>
      </c>
      <c r="N7">
        <f t="shared" si="6"/>
        <v>1182</v>
      </c>
      <c r="O7" s="5">
        <f t="shared" si="7"/>
        <v>22</v>
      </c>
    </row>
    <row r="8" spans="1:15" x14ac:dyDescent="0.3">
      <c r="A8" s="1" t="str">
        <f>Data!A8</f>
        <v>https://github.com/airbnb/lottie-ios</v>
      </c>
      <c r="B8" t="str">
        <f>Data!B8</f>
        <v>An iOS library to natively render After Effects vector animations</v>
      </c>
      <c r="C8" t="str">
        <f>Data!C8</f>
        <v>Swift</v>
      </c>
      <c r="D8">
        <f>Data!D8</f>
        <v>24424</v>
      </c>
      <c r="E8">
        <f>Data!E8</f>
        <v>3601</v>
      </c>
      <c r="F8">
        <f>Data!F8</f>
        <v>15</v>
      </c>
      <c r="G8" t="str">
        <f t="shared" si="0"/>
        <v>airbnb/lottie-ios</v>
      </c>
      <c r="I8" s="6" t="str">
        <v>Swift</v>
      </c>
      <c r="J8" s="7">
        <f t="shared" si="2"/>
        <v>24424</v>
      </c>
      <c r="K8" s="7">
        <f t="shared" si="3"/>
        <v>3601</v>
      </c>
      <c r="L8" s="7">
        <f t="shared" si="4"/>
        <v>15</v>
      </c>
      <c r="M8">
        <f t="shared" si="5"/>
        <v>24424</v>
      </c>
      <c r="N8">
        <f t="shared" si="6"/>
        <v>3601</v>
      </c>
      <c r="O8" s="5">
        <f t="shared" si="7"/>
        <v>15</v>
      </c>
    </row>
    <row r="9" spans="1:15" x14ac:dyDescent="0.3">
      <c r="A9" s="1" t="str">
        <f>Data!A9</f>
        <v>https://github.com/emilk/egui</v>
      </c>
      <c r="B9" t="str">
        <f>Data!B9</f>
        <v>egui: an easy-to-use immediate mode GUI in Rust that runs on both web and native</v>
      </c>
      <c r="C9" t="str">
        <f>Data!C9</f>
        <v>Rust</v>
      </c>
      <c r="D9">
        <f>Data!D9</f>
        <v>16443</v>
      </c>
      <c r="E9">
        <f>Data!E9</f>
        <v>1178</v>
      </c>
      <c r="F9">
        <f>Data!F9</f>
        <v>14</v>
      </c>
      <c r="G9" t="str">
        <f t="shared" si="0"/>
        <v>emilk/egui</v>
      </c>
      <c r="I9" s="6" t="str">
        <v>Rust</v>
      </c>
      <c r="J9" s="7">
        <f t="shared" si="2"/>
        <v>18749</v>
      </c>
      <c r="K9" s="7">
        <f t="shared" si="3"/>
        <v>1636</v>
      </c>
      <c r="L9" s="7">
        <f t="shared" si="4"/>
        <v>22</v>
      </c>
      <c r="M9">
        <f t="shared" si="5"/>
        <v>9374.5</v>
      </c>
      <c r="N9">
        <f t="shared" si="6"/>
        <v>818</v>
      </c>
      <c r="O9" s="5">
        <f t="shared" si="7"/>
        <v>11</v>
      </c>
    </row>
    <row r="10" spans="1:15" x14ac:dyDescent="0.3">
      <c r="A10" s="1" t="str">
        <f>Data!A10</f>
        <v>https://github.com/apache/superset</v>
      </c>
      <c r="B10" t="str">
        <f>Data!B10</f>
        <v>Apache Superset is a Data Visualization and Data Exploration Platform</v>
      </c>
      <c r="C10" t="str">
        <f>Data!C10</f>
        <v>TypeScript</v>
      </c>
      <c r="D10">
        <f>Data!D10</f>
        <v>54174</v>
      </c>
      <c r="E10">
        <f>Data!E10</f>
        <v>11280</v>
      </c>
      <c r="F10">
        <f>Data!F10</f>
        <v>12</v>
      </c>
      <c r="G10" t="str">
        <f t="shared" si="0"/>
        <v>apache/superset</v>
      </c>
      <c r="I10" s="6" t="str">
        <v>TypeScript</v>
      </c>
      <c r="J10" s="7">
        <f t="shared" si="2"/>
        <v>206708</v>
      </c>
      <c r="K10" s="7">
        <f t="shared" si="3"/>
        <v>31889</v>
      </c>
      <c r="L10" s="7">
        <f t="shared" si="4"/>
        <v>356</v>
      </c>
      <c r="M10">
        <f t="shared" si="5"/>
        <v>29529.714285714286</v>
      </c>
      <c r="N10">
        <f t="shared" si="6"/>
        <v>4555.5714285714284</v>
      </c>
      <c r="O10" s="5">
        <f t="shared" si="7"/>
        <v>50.857142857142854</v>
      </c>
    </row>
    <row r="11" spans="1:15" x14ac:dyDescent="0.3">
      <c r="A11" s="1" t="str">
        <f>Data!A11</f>
        <v>https://github.com/makeplane/plane</v>
      </c>
      <c r="B11" t="str">
        <f>Data!B11</f>
        <v>Open Source JIRA, Linear and Height Alternative. Plane helps you track your issues, epics, and product roadmaps in the simplest way possible.</v>
      </c>
      <c r="C11" t="str">
        <f>Data!C11</f>
        <v>TypeScript</v>
      </c>
      <c r="D11">
        <f>Data!D11</f>
        <v>14578</v>
      </c>
      <c r="E11">
        <f>Data!E11</f>
        <v>611</v>
      </c>
      <c r="F11">
        <f>Data!F11</f>
        <v>43</v>
      </c>
      <c r="G11" t="str">
        <f t="shared" si="0"/>
        <v>makeplane/plane</v>
      </c>
      <c r="I11" s="6" t="str">
        <v>Jupyter Notebook</v>
      </c>
      <c r="J11" s="7">
        <f t="shared" si="2"/>
        <v>9075</v>
      </c>
      <c r="K11" s="7">
        <f t="shared" si="3"/>
        <v>1324</v>
      </c>
      <c r="L11" s="7">
        <f t="shared" si="4"/>
        <v>20</v>
      </c>
      <c r="M11">
        <f t="shared" si="5"/>
        <v>9075</v>
      </c>
      <c r="N11">
        <f t="shared" si="6"/>
        <v>1324</v>
      </c>
      <c r="O11" s="5">
        <f t="shared" si="7"/>
        <v>20</v>
      </c>
    </row>
    <row r="12" spans="1:15" x14ac:dyDescent="0.3">
      <c r="A12" s="1" t="str">
        <f>Data!A12</f>
        <v>https://github.com/coqui-ai/TTS</v>
      </c>
      <c r="B12" t="s">
        <v>73</v>
      </c>
      <c r="C12" t="str">
        <f>Data!C12</f>
        <v>Python</v>
      </c>
      <c r="D12">
        <f>Data!D12</f>
        <v>15224</v>
      </c>
      <c r="E12">
        <f>Data!E12</f>
        <v>1964</v>
      </c>
      <c r="F12">
        <f>Data!F12</f>
        <v>164</v>
      </c>
      <c r="G12" t="str">
        <f t="shared" si="0"/>
        <v>coqui-ai/TTS</v>
      </c>
      <c r="I12" s="6" t="str">
        <v>PowerShell</v>
      </c>
      <c r="J12" s="7">
        <f t="shared" si="2"/>
        <v>8089</v>
      </c>
      <c r="K12" s="7">
        <f t="shared" si="3"/>
        <v>3012</v>
      </c>
      <c r="L12" s="7">
        <f t="shared" si="4"/>
        <v>3</v>
      </c>
      <c r="M12">
        <f t="shared" si="5"/>
        <v>8089</v>
      </c>
      <c r="N12">
        <f t="shared" si="6"/>
        <v>3012</v>
      </c>
      <c r="O12" s="5">
        <f t="shared" si="7"/>
        <v>3</v>
      </c>
    </row>
    <row r="13" spans="1:15" x14ac:dyDescent="0.3">
      <c r="A13" s="1" t="str">
        <f>Data!A13</f>
        <v>https://github.com/neonbjb/tortoise-tts</v>
      </c>
      <c r="B13" t="str">
        <f>Data!B13</f>
        <v>A multi-voice TTS system trained with an emphasis on quality</v>
      </c>
      <c r="C13" t="str">
        <f>Data!C13</f>
        <v>Jupyter Notebook</v>
      </c>
      <c r="D13">
        <f>Data!D13</f>
        <v>9075</v>
      </c>
      <c r="E13">
        <f>Data!E13</f>
        <v>1324</v>
      </c>
      <c r="F13">
        <f>Data!F13</f>
        <v>20</v>
      </c>
      <c r="G13" t="str">
        <f t="shared" si="0"/>
        <v>neonbjb/tortoise-tts</v>
      </c>
      <c r="I13" s="6" t="str">
        <v>C++</v>
      </c>
      <c r="J13" s="7">
        <f t="shared" si="2"/>
        <v>4571</v>
      </c>
      <c r="K13" s="7">
        <f t="shared" si="3"/>
        <v>1464</v>
      </c>
      <c r="L13" s="7">
        <f t="shared" si="4"/>
        <v>18</v>
      </c>
      <c r="M13">
        <f t="shared" si="5"/>
        <v>4571</v>
      </c>
      <c r="N13">
        <f t="shared" si="6"/>
        <v>1464</v>
      </c>
      <c r="O13" s="5">
        <f t="shared" si="7"/>
        <v>18</v>
      </c>
    </row>
    <row r="14" spans="1:15" ht="15" thickBot="1" x14ac:dyDescent="0.35">
      <c r="A14" s="1" t="str">
        <f>Data!A14</f>
        <v>https://github.com/paradigmxyz/reth</v>
      </c>
      <c r="B14" t="str">
        <f>Data!B14</f>
        <v>Modular, contributor-friendly and blazing-fast implementation of the Ethereum protocol, in Rust</v>
      </c>
      <c r="C14" t="str">
        <f>Data!C14</f>
        <v>Rust</v>
      </c>
      <c r="D14">
        <f>Data!D14</f>
        <v>2306</v>
      </c>
      <c r="E14">
        <f>Data!E14</f>
        <v>458</v>
      </c>
      <c r="F14">
        <f>Data!F14</f>
        <v>8</v>
      </c>
      <c r="G14" t="str">
        <f t="shared" si="0"/>
        <v>paradigmxyz/reth</v>
      </c>
      <c r="I14" s="11" t="s">
        <v>68</v>
      </c>
      <c r="J14" s="12">
        <f>SUM(J3:J13)</f>
        <v>609018</v>
      </c>
      <c r="K14" s="12">
        <f>SUM(K3:K13)</f>
        <v>99274</v>
      </c>
      <c r="L14" s="12">
        <f>SUM(L3:L13)</f>
        <v>1010</v>
      </c>
      <c r="M14" s="13"/>
      <c r="N14" s="13"/>
      <c r="O14" s="14"/>
    </row>
    <row r="15" spans="1:15" ht="15" thickTop="1" x14ac:dyDescent="0.3">
      <c r="A15" s="1" t="str">
        <f>Data!A15</f>
        <v>https://github.com/AykutSarac/jsoncrack.com</v>
      </c>
      <c r="B15" t="str">
        <f>Data!B15</f>
        <v>Innovative and open-source visualization application that transforms various data formats, such as JSON, YAML, XML, CSV and more, into interactive graphs.</v>
      </c>
      <c r="C15" t="str">
        <f>Data!C15</f>
        <v>TypeScript</v>
      </c>
      <c r="D15">
        <f>Data!D15</f>
        <v>25452</v>
      </c>
      <c r="E15">
        <f>Data!E15</f>
        <v>1407</v>
      </c>
      <c r="F15">
        <f>Data!F15</f>
        <v>260</v>
      </c>
      <c r="G15" t="str">
        <f t="shared" si="0"/>
        <v>AykutSarac/jsoncrack.com</v>
      </c>
    </row>
    <row r="16" spans="1:15" x14ac:dyDescent="0.3">
      <c r="A16" s="1" t="str">
        <f>Data!A16</f>
        <v>https://github.com/paperless-ngx/paperless-ngx</v>
      </c>
      <c r="B16" t="str">
        <f>Data!B16</f>
        <v>A community-supported supercharged version of paperless: scan, index and archive all your physical documents</v>
      </c>
      <c r="C16" t="str">
        <f>Data!C16</f>
        <v>Python</v>
      </c>
      <c r="D16">
        <f>Data!D16</f>
        <v>9886</v>
      </c>
      <c r="E16">
        <f>Data!E16</f>
        <v>522</v>
      </c>
      <c r="F16">
        <f>Data!F16</f>
        <v>31</v>
      </c>
      <c r="G16" t="str">
        <f t="shared" si="0"/>
        <v>paperless-ngx/paperless-ngx</v>
      </c>
    </row>
    <row r="17" spans="1:7" x14ac:dyDescent="0.3">
      <c r="A17" s="1" t="str">
        <f>Data!A17</f>
        <v>https://github.com/typeorm/typeorm</v>
      </c>
      <c r="B17" t="str">
        <f>Data!B17</f>
        <v>ORM for TypeScript and JavaScript. Supports MySQL, PostgreSQL, MariaDB, SQLite, MS SQL Server, Oracle, SAP Hana, WebSQL databases. Works in NodeJS, Browser, Ionic, Cordova and Electron platforms.</v>
      </c>
      <c r="C17" t="str">
        <f>Data!C17</f>
        <v>TypeScript</v>
      </c>
      <c r="D17">
        <f>Data!D17</f>
        <v>32079</v>
      </c>
      <c r="E17">
        <f>Data!E17</f>
        <v>5976</v>
      </c>
      <c r="F17">
        <f>Data!F17</f>
        <v>6</v>
      </c>
      <c r="G17" t="str">
        <f t="shared" si="0"/>
        <v>typeorm/typeorm</v>
      </c>
    </row>
    <row r="18" spans="1:7" x14ac:dyDescent="0.3">
      <c r="A18" s="1" t="str">
        <f>Data!A18</f>
        <v>https://github.com/recloudstream/cloudstream</v>
      </c>
      <c r="B18" t="str">
        <f>Data!B18</f>
        <v>Android app for streaming and downloading media.</v>
      </c>
      <c r="C18" t="str">
        <f>Data!C18</f>
        <v>Kotlin</v>
      </c>
      <c r="D18">
        <f>Data!D18</f>
        <v>4415</v>
      </c>
      <c r="E18">
        <f>Data!E18</f>
        <v>377</v>
      </c>
      <c r="F18">
        <f>Data!F18</f>
        <v>13</v>
      </c>
      <c r="G18" t="str">
        <f t="shared" si="0"/>
        <v>recloudstream/cloudstream</v>
      </c>
    </row>
    <row r="19" spans="1:7" x14ac:dyDescent="0.3">
      <c r="A19" s="1" t="str">
        <f>Data!A19</f>
        <v>https://github.com/ant-design/ant-design-mobile</v>
      </c>
      <c r="B19" t="str">
        <f>Data!B19</f>
        <v>Essential UI blocks for building mobile web apps.</v>
      </c>
      <c r="C19" t="str">
        <f>Data!C19</f>
        <v>TypeScript</v>
      </c>
      <c r="D19">
        <f>Data!D19</f>
        <v>11129</v>
      </c>
      <c r="E19">
        <f>Data!E19</f>
        <v>2266</v>
      </c>
      <c r="F19">
        <f>Data!F19</f>
        <v>1</v>
      </c>
      <c r="G19" t="str">
        <f t="shared" si="0"/>
        <v>ant-design/ant-design-mobile</v>
      </c>
    </row>
    <row r="20" spans="1:7" x14ac:dyDescent="0.3">
      <c r="A20" s="1" t="str">
        <f>Data!A20</f>
        <v>https://github.com/vuejs/core</v>
      </c>
      <c r="B20" t="str">
        <f>Data!B20</f>
        <v>Vue.js is a progressive, incrementally-adoptable JavaScript framework for building UI on the web.</v>
      </c>
      <c r="C20" t="str">
        <f>Data!C20</f>
        <v>TypeScript</v>
      </c>
      <c r="D20">
        <f>Data!D20</f>
        <v>40244</v>
      </c>
      <c r="E20">
        <f>Data!E20</f>
        <v>7352</v>
      </c>
      <c r="F20">
        <f>Data!F20</f>
        <v>22</v>
      </c>
      <c r="G20" t="str">
        <f t="shared" si="0"/>
        <v>vuejs/core</v>
      </c>
    </row>
    <row r="21" spans="1:7" x14ac:dyDescent="0.3">
      <c r="A21" s="1" t="str">
        <f>Data!A21</f>
        <v>https://github.com/localstack/localstack</v>
      </c>
      <c r="B21" t="str">
        <f>Data!B21</f>
        <v>A fully functional local AWS cloud stack. Develop and test your cloud &amp; Serverless apps offline</v>
      </c>
      <c r="C21" t="str">
        <f>Data!C21</f>
        <v>Python</v>
      </c>
      <c r="D21">
        <f>Data!D21</f>
        <v>48463</v>
      </c>
      <c r="E21">
        <f>Data!E21</f>
        <v>3671</v>
      </c>
      <c r="F21">
        <f>Data!F21</f>
        <v>8</v>
      </c>
      <c r="G21" t="str">
        <f t="shared" si="0"/>
        <v>localstack/localstack</v>
      </c>
    </row>
    <row r="22" spans="1:7" x14ac:dyDescent="0.3">
      <c r="A22" s="1" t="str">
        <f>Data!A22</f>
        <v>https://github.com/actions/runner-images</v>
      </c>
      <c r="B22" t="str">
        <f>Data!B22</f>
        <v>GitHub Actions runner images</v>
      </c>
      <c r="C22" t="str">
        <f>Data!C22</f>
        <v>PowerShell</v>
      </c>
      <c r="D22">
        <f>Data!D22</f>
        <v>8089</v>
      </c>
      <c r="E22">
        <f>Data!E22</f>
        <v>3012</v>
      </c>
      <c r="F22">
        <f>Data!F22</f>
        <v>3</v>
      </c>
      <c r="G22" t="str">
        <f t="shared" si="0"/>
        <v>actions/runner-images</v>
      </c>
    </row>
    <row r="23" spans="1:7" x14ac:dyDescent="0.3">
      <c r="A23" s="1" t="str">
        <f>Data!A23</f>
        <v>https://github.com/microsoft/DeepSpeed</v>
      </c>
      <c r="B23" t="str">
        <f>Data!B23</f>
        <v>DeepSpeed is a deep learning optimization library that makes distributed training and inference easy, efficient, and effective.</v>
      </c>
      <c r="C23" t="str">
        <f>Data!C23</f>
        <v>Python</v>
      </c>
      <c r="D23">
        <f>Data!D23</f>
        <v>28358</v>
      </c>
      <c r="E23">
        <f>Data!E23</f>
        <v>3405</v>
      </c>
      <c r="F23">
        <f>Data!F23</f>
        <v>11</v>
      </c>
      <c r="G23" t="str">
        <f t="shared" si="0"/>
        <v>microsoft/DeepSpeed</v>
      </c>
    </row>
    <row r="24" spans="1:7" x14ac:dyDescent="0.3">
      <c r="A24" s="1" t="str">
        <f>Data!A24</f>
        <v>https://github.com/cocos/cocos-engine</v>
      </c>
      <c r="B24" t="str">
        <f>Data!B24</f>
        <v>Cocos simplifies game creation and distribution with Cocos Creator, a free, open-source, cross-platform game engine. Empowering millions of developers to create high-performance, engaging 2D/3D games and instant web entertainment.</v>
      </c>
      <c r="C24" t="str">
        <f>Data!C24</f>
        <v>C++</v>
      </c>
      <c r="D24">
        <f>Data!D24</f>
        <v>4571</v>
      </c>
      <c r="E24">
        <f>Data!E24</f>
        <v>1464</v>
      </c>
      <c r="F24">
        <f>Data!F24</f>
        <v>18</v>
      </c>
      <c r="G24" t="str">
        <f t="shared" si="0"/>
        <v>cocos/cocos-engine</v>
      </c>
    </row>
    <row r="25" spans="1:7" x14ac:dyDescent="0.3">
      <c r="A25" s="1" t="str">
        <f>Data!A25</f>
        <v>https://github.com/appsmithorg/appsmith</v>
      </c>
      <c r="B25" t="str">
        <f>Data!B25</f>
        <v>Platform to build admin panels, internal tools, and dashboards. Integrates with 15+ databases and any API.</v>
      </c>
      <c r="C25" t="str">
        <f>Data!C25</f>
        <v>TypeScript</v>
      </c>
      <c r="D25">
        <f>Data!D25</f>
        <v>29052</v>
      </c>
      <c r="E25">
        <f>Data!E25</f>
        <v>2997</v>
      </c>
      <c r="F25">
        <f>Data!F25</f>
        <v>12</v>
      </c>
      <c r="G25" t="str">
        <f t="shared" si="0"/>
        <v>appsmithorg/appsmith</v>
      </c>
    </row>
    <row r="26" spans="1:7" x14ac:dyDescent="0.3">
      <c r="A2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96C58-A70C-4DB7-B78E-9F997103A8D3}">
  <sheetPr codeName="Sheet2"/>
  <dimension ref="A1:H25"/>
  <sheetViews>
    <sheetView showGridLines="0" tabSelected="1" workbookViewId="0">
      <selection activeCell="AA3" sqref="AA3"/>
    </sheetView>
  </sheetViews>
  <sheetFormatPr defaultColWidth="9" defaultRowHeight="14.4" x14ac:dyDescent="0.3"/>
  <cols>
    <col min="1" max="16384" width="9" style="2"/>
  </cols>
  <sheetData>
    <row r="1" spans="1:8" ht="28.8" x14ac:dyDescent="0.3">
      <c r="A1" s="15" t="s">
        <v>74</v>
      </c>
      <c r="B1" s="15"/>
      <c r="C1" s="15"/>
      <c r="D1" s="15"/>
      <c r="E1" s="15"/>
      <c r="F1" s="15"/>
      <c r="G1" s="15"/>
      <c r="H1" s="15"/>
    </row>
    <row r="2" spans="1:8" x14ac:dyDescent="0.3">
      <c r="A2" s="15"/>
      <c r="B2" s="15"/>
      <c r="C2" s="15"/>
      <c r="D2" s="15"/>
      <c r="E2" s="15"/>
      <c r="F2" s="15"/>
      <c r="G2" s="15"/>
      <c r="H2" s="15"/>
    </row>
    <row r="3" spans="1:8" x14ac:dyDescent="0.3">
      <c r="A3" s="15"/>
      <c r="B3" s="15"/>
      <c r="C3" s="15"/>
      <c r="D3" s="15"/>
      <c r="E3" s="15"/>
      <c r="F3" s="15"/>
      <c r="G3" s="15"/>
      <c r="H3" s="15"/>
    </row>
    <row r="4" spans="1:8" x14ac:dyDescent="0.3">
      <c r="A4" s="15"/>
      <c r="B4" s="15"/>
      <c r="C4" s="15"/>
      <c r="D4" s="15"/>
      <c r="E4" s="15"/>
      <c r="F4" s="15"/>
      <c r="G4" s="15"/>
      <c r="H4" s="15"/>
    </row>
    <row r="5" spans="1:8" x14ac:dyDescent="0.3">
      <c r="A5" s="15"/>
      <c r="B5" s="15"/>
      <c r="C5" s="15"/>
      <c r="D5" s="15"/>
      <c r="E5" s="15"/>
      <c r="F5" s="15"/>
      <c r="G5" s="15"/>
      <c r="H5" s="15"/>
    </row>
    <row r="7" spans="1:8" x14ac:dyDescent="0.3">
      <c r="C7" s="3"/>
      <c r="D7" s="3"/>
    </row>
    <row r="8" spans="1:8" x14ac:dyDescent="0.3">
      <c r="C8" s="3"/>
      <c r="D8" s="3"/>
    </row>
    <row r="9" spans="1:8" x14ac:dyDescent="0.3">
      <c r="C9" s="3"/>
      <c r="D9" s="3"/>
    </row>
    <row r="10" spans="1:8" x14ac:dyDescent="0.3">
      <c r="C10" s="3"/>
      <c r="D10" s="3"/>
    </row>
    <row r="11" spans="1:8" x14ac:dyDescent="0.3">
      <c r="C11" s="3"/>
      <c r="D11" s="3"/>
    </row>
    <row r="12" spans="1:8" x14ac:dyDescent="0.3">
      <c r="C12" s="3"/>
      <c r="D12" s="3"/>
    </row>
    <row r="13" spans="1:8" x14ac:dyDescent="0.3">
      <c r="C13" s="3"/>
      <c r="D13" s="3"/>
    </row>
    <row r="14" spans="1:8" x14ac:dyDescent="0.3">
      <c r="C14" s="3"/>
      <c r="D14" s="3"/>
    </row>
    <row r="15" spans="1:8" x14ac:dyDescent="0.3">
      <c r="C15" s="3"/>
      <c r="D15" s="3"/>
    </row>
    <row r="16" spans="1:8" x14ac:dyDescent="0.3">
      <c r="C16" s="3"/>
      <c r="D16" s="3"/>
    </row>
    <row r="17" spans="3:4" x14ac:dyDescent="0.3">
      <c r="C17" s="3"/>
      <c r="D17" s="3"/>
    </row>
    <row r="19" spans="3:4" x14ac:dyDescent="0.3">
      <c r="C19" s="3"/>
      <c r="D19" s="3"/>
    </row>
    <row r="20" spans="3:4" x14ac:dyDescent="0.3">
      <c r="C20" s="3"/>
      <c r="D20" s="3"/>
    </row>
    <row r="21" spans="3:4" x14ac:dyDescent="0.3">
      <c r="C21" s="3"/>
    </row>
    <row r="22" spans="3:4" x14ac:dyDescent="0.3">
      <c r="C22" s="3"/>
      <c r="D22" s="3"/>
    </row>
    <row r="23" spans="3:4" x14ac:dyDescent="0.3">
      <c r="C23" s="3"/>
      <c r="D23" s="3"/>
    </row>
    <row r="24" spans="3:4" x14ac:dyDescent="0.3">
      <c r="C24" s="3"/>
      <c r="D24" s="3"/>
    </row>
    <row r="25" spans="3:4" x14ac:dyDescent="0.3">
      <c r="C25" s="3"/>
      <c r="D25" s="3"/>
    </row>
  </sheetData>
  <mergeCells count="1">
    <mergeCell ref="A1:H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DataCopy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Butler</dc:creator>
  <cp:lastModifiedBy>John Butler</cp:lastModifiedBy>
  <dcterms:created xsi:type="dcterms:W3CDTF">2023-09-15T21:57:33Z</dcterms:created>
  <dcterms:modified xsi:type="dcterms:W3CDTF">2023-09-17T01:16:32Z</dcterms:modified>
</cp:coreProperties>
</file>