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john_\projects\GithubWebScrape\"/>
    </mc:Choice>
  </mc:AlternateContent>
  <xr:revisionPtr revIDLastSave="0" documentId="13_ncr:1_{0FB55C55-5BDE-499B-A7FE-6DA6EDF92C83}" xr6:coauthVersionLast="47" xr6:coauthVersionMax="47" xr10:uidLastSave="{00000000-0000-0000-0000-000000000000}"/>
  <bookViews>
    <workbookView xWindow="-108" yWindow="-108" windowWidth="23256" windowHeight="12456" tabRatio="398" activeTab="2" xr2:uid="{1269A3F6-CCD4-40A0-A8C6-49F721D4E20C}"/>
  </bookViews>
  <sheets>
    <sheet name="Data" sheetId="1" r:id="rId1"/>
    <sheet name="DataCopy" sheetId="3" r:id="rId2"/>
    <sheet name="Dashboard" sheetId="2" r:id="rId3"/>
  </sheets>
  <definedNames>
    <definedName name="_xlchart.v1.0" hidden="1">DataCopy!$I$3:$I$13</definedName>
    <definedName name="_xlchart.v1.1" hidden="1">DataCopy!$J$2</definedName>
    <definedName name="_xlchart.v1.2" hidden="1">DataCopy!$J$3:$J$13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a="1"/>
  <c r="B2" i="1" s="1"/>
  <c r="B2" i="3" s="1"/>
  <c r="B3" i="3"/>
  <c r="B4" i="3"/>
  <c r="B5" i="3"/>
  <c r="B6" i="3"/>
  <c r="B7" i="3"/>
  <c r="B8" i="3"/>
  <c r="B9" i="3"/>
  <c r="B10" i="3"/>
  <c r="B11" i="3"/>
  <c r="B12" i="3"/>
  <c r="B13" i="3"/>
  <c r="B14" i="3"/>
  <c r="B15" i="3"/>
  <c r="B16" i="3"/>
  <c r="B17" i="3"/>
  <c r="B18" i="3"/>
  <c r="B19" i="3"/>
  <c r="B20" i="3"/>
  <c r="B21" i="3"/>
  <c r="B22" i="3"/>
  <c r="B23" i="3"/>
  <c r="B24" i="3"/>
  <c r="B25" i="3"/>
  <c r="F2" i="3"/>
  <c r="F3" i="3"/>
  <c r="F4" i="3"/>
  <c r="F5" i="3"/>
  <c r="F6" i="3"/>
  <c r="F7" i="3"/>
  <c r="F8" i="3"/>
  <c r="F9" i="3"/>
  <c r="F10" i="3"/>
  <c r="F11" i="3"/>
  <c r="F12" i="3"/>
  <c r="F13" i="3"/>
  <c r="F14" i="3"/>
  <c r="F15" i="3"/>
  <c r="F16" i="3"/>
  <c r="F17" i="3"/>
  <c r="F18" i="3"/>
  <c r="F19" i="3"/>
  <c r="F20" i="3"/>
  <c r="F21" i="3"/>
  <c r="F22" i="3"/>
  <c r="F23" i="3"/>
  <c r="F24" i="3"/>
  <c r="F25" i="3"/>
  <c r="E2" i="3"/>
  <c r="E3" i="3"/>
  <c r="E4" i="3"/>
  <c r="E5" i="3"/>
  <c r="E6" i="3"/>
  <c r="E7" i="3"/>
  <c r="E8" i="3"/>
  <c r="E9" i="3"/>
  <c r="E10" i="3"/>
  <c r="E11" i="3"/>
  <c r="E12" i="3"/>
  <c r="E13" i="3"/>
  <c r="E14" i="3"/>
  <c r="E15" i="3"/>
  <c r="E16" i="3"/>
  <c r="E17" i="3"/>
  <c r="E18" i="3"/>
  <c r="E19" i="3"/>
  <c r="E20" i="3"/>
  <c r="E21" i="3"/>
  <c r="E22" i="3"/>
  <c r="E23" i="3"/>
  <c r="E24" i="3"/>
  <c r="E25" i="3"/>
  <c r="D2" i="3"/>
  <c r="D3" i="3"/>
  <c r="D4" i="3"/>
  <c r="D5" i="3"/>
  <c r="D6" i="3"/>
  <c r="D7" i="3"/>
  <c r="D8" i="3"/>
  <c r="D9" i="3"/>
  <c r="D10" i="3"/>
  <c r="D11" i="3"/>
  <c r="D12" i="3"/>
  <c r="D13" i="3"/>
  <c r="D14" i="3"/>
  <c r="D15" i="3"/>
  <c r="D16" i="3"/>
  <c r="D17" i="3"/>
  <c r="D18" i="3"/>
  <c r="D19" i="3"/>
  <c r="D20" i="3"/>
  <c r="D21" i="3"/>
  <c r="D22" i="3"/>
  <c r="D23" i="3"/>
  <c r="D24" i="3"/>
  <c r="D25" i="3"/>
  <c r="F1" i="3"/>
  <c r="E1" i="3"/>
  <c r="D1" i="3"/>
  <c r="C2" i="3"/>
  <c r="C3" i="3"/>
  <c r="C4" i="3"/>
  <c r="C5" i="3"/>
  <c r="C6" i="3"/>
  <c r="C7" i="3"/>
  <c r="C8" i="3"/>
  <c r="C9" i="3"/>
  <c r="C10" i="3"/>
  <c r="C11" i="3"/>
  <c r="C12" i="3"/>
  <c r="C13" i="3"/>
  <c r="C14" i="3"/>
  <c r="C15" i="3"/>
  <c r="C16" i="3"/>
  <c r="C17" i="3"/>
  <c r="C18" i="3"/>
  <c r="C19" i="3"/>
  <c r="C20" i="3"/>
  <c r="C21" i="3"/>
  <c r="C22" i="3"/>
  <c r="C23" i="3"/>
  <c r="C24" i="3"/>
  <c r="C25" i="3"/>
  <c r="C1" i="3"/>
  <c r="B1" i="3"/>
  <c r="A3" i="3"/>
  <c r="G3" i="3" s="1"/>
  <c r="A4" i="3"/>
  <c r="G4" i="3" s="1"/>
  <c r="A5" i="3"/>
  <c r="G5" i="3" s="1"/>
  <c r="A6" i="3"/>
  <c r="G6" i="3" s="1"/>
  <c r="A7" i="3"/>
  <c r="G7" i="3" s="1"/>
  <c r="A8" i="3"/>
  <c r="G8" i="3" s="1"/>
  <c r="A9" i="3"/>
  <c r="G9" i="3" s="1"/>
  <c r="A10" i="3"/>
  <c r="G10" i="3" s="1"/>
  <c r="A11" i="3"/>
  <c r="G11" i="3" s="1"/>
  <c r="A12" i="3"/>
  <c r="G12" i="3" s="1"/>
  <c r="A13" i="3"/>
  <c r="G13" i="3" s="1"/>
  <c r="A14" i="3"/>
  <c r="G14" i="3" s="1"/>
  <c r="A15" i="3"/>
  <c r="G15" i="3" s="1"/>
  <c r="A16" i="3"/>
  <c r="G16" i="3" s="1"/>
  <c r="A17" i="3"/>
  <c r="G17" i="3" s="1"/>
  <c r="A18" i="3"/>
  <c r="G18" i="3" s="1"/>
  <c r="A19" i="3"/>
  <c r="G19" i="3" s="1"/>
  <c r="A20" i="3"/>
  <c r="G20" i="3" s="1"/>
  <c r="A21" i="3"/>
  <c r="G21" i="3" s="1"/>
  <c r="A22" i="3"/>
  <c r="G22" i="3" s="1"/>
  <c r="A23" i="3"/>
  <c r="G23" i="3" s="1"/>
  <c r="A24" i="3"/>
  <c r="G24" i="3" s="1"/>
  <c r="A25" i="3"/>
  <c r="G25" i="3" s="1"/>
  <c r="A2" i="3"/>
  <c r="G2" i="3" s="1"/>
  <c r="A1" i="3"/>
  <c r="I3" i="3" l="1" a="1"/>
  <c r="I3" i="3" l="1"/>
  <c r="O10" i="3"/>
  <c r="L14" i="3"/>
  <c r="J11" i="3"/>
  <c r="K16" i="3"/>
  <c r="O18" i="3"/>
  <c r="L15" i="3"/>
  <c r="J12" i="3"/>
  <c r="K17" i="3"/>
  <c r="N5" i="3"/>
  <c r="L16" i="3"/>
  <c r="J13" i="3"/>
  <c r="N12" i="3"/>
  <c r="K12" i="3"/>
  <c r="M5" i="3"/>
  <c r="L17" i="3"/>
  <c r="N13" i="3"/>
  <c r="K7" i="3"/>
  <c r="N18" i="3"/>
  <c r="K14" i="3"/>
  <c r="N16" i="3"/>
  <c r="K9" i="3"/>
  <c r="N17" i="3"/>
  <c r="L9" i="3"/>
  <c r="L10" i="3"/>
  <c r="K18" i="3"/>
  <c r="L11" i="3"/>
  <c r="J10" i="3"/>
  <c r="J15" i="3"/>
  <c r="O14" i="3"/>
  <c r="O11" i="3"/>
  <c r="L13" i="3"/>
  <c r="K11" i="3"/>
  <c r="J8" i="3"/>
  <c r="M16" i="3"/>
  <c r="M13" i="3"/>
  <c r="M15" i="3"/>
  <c r="L12" i="3"/>
  <c r="N8" i="3"/>
  <c r="J7" i="3"/>
  <c r="O16" i="3"/>
  <c r="O5" i="3"/>
  <c r="O13" i="3"/>
  <c r="O8" i="3"/>
  <c r="K10" i="3"/>
  <c r="M4" i="3"/>
  <c r="M9" i="3"/>
  <c r="O7" i="3"/>
  <c r="J18" i="3"/>
  <c r="L8" i="3"/>
  <c r="K6" i="3"/>
  <c r="J9" i="3"/>
  <c r="O15" i="3"/>
  <c r="J6" i="3"/>
  <c r="M7" i="3"/>
  <c r="O12" i="3"/>
  <c r="N11" i="3"/>
  <c r="K15" i="3"/>
  <c r="M11" i="3"/>
  <c r="M14" i="3"/>
  <c r="O17" i="3"/>
  <c r="M6" i="3"/>
  <c r="M12" i="3"/>
  <c r="L4" i="3"/>
  <c r="J4" i="3"/>
  <c r="M18" i="3"/>
  <c r="K8" i="3"/>
  <c r="N7" i="3"/>
  <c r="O6" i="3"/>
  <c r="N15" i="3"/>
  <c r="N4" i="3"/>
  <c r="O4" i="3"/>
  <c r="N6" i="3"/>
  <c r="J16" i="3"/>
  <c r="M10" i="3"/>
  <c r="K13" i="3"/>
  <c r="J17" i="3"/>
  <c r="L5" i="3"/>
  <c r="M17" i="3"/>
  <c r="J14" i="3"/>
  <c r="J5" i="3"/>
  <c r="L6" i="3"/>
  <c r="M8" i="3"/>
  <c r="K5" i="3"/>
  <c r="O9" i="3"/>
  <c r="K4" i="3"/>
  <c r="L7" i="3"/>
  <c r="L18" i="3"/>
  <c r="N14" i="3"/>
  <c r="N9" i="3"/>
  <c r="N10" i="3"/>
  <c r="N3" i="3"/>
  <c r="O3" i="3"/>
  <c r="J3" i="3"/>
  <c r="M3" i="3"/>
  <c r="L3" i="3"/>
  <c r="K3" i="3"/>
  <c r="R7" i="3" l="1"/>
  <c r="R9" i="3"/>
  <c r="R8" i="3"/>
  <c r="R5" i="3"/>
  <c r="R3" i="3"/>
  <c r="R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<sst xmlns="http://schemas.openxmlformats.org/spreadsheetml/2006/main" count="92" uniqueCount="81">
  <si>
    <t>Repository</t>
  </si>
  <si>
    <t>https://github.com/godotengine/godot-demo-projects</t>
  </si>
  <si>
    <t>https://github.com/AUTOMATIC1111/stable-diffusion-webui</t>
  </si>
  <si>
    <t>Description</t>
  </si>
  <si>
    <t>Primary Programming Language</t>
  </si>
  <si>
    <t>Stargazers</t>
  </si>
  <si>
    <t>Forks</t>
  </si>
  <si>
    <t>Demonstration and Template Projects</t>
  </si>
  <si>
    <t>GDScript</t>
  </si>
  <si>
    <t>TypeScript</t>
  </si>
  <si>
    <t>Python</t>
  </si>
  <si>
    <t>Rust</t>
  </si>
  <si>
    <t>Stable Diffusion web UI</t>
  </si>
  <si>
    <t>Java</t>
  </si>
  <si>
    <t>Go</t>
  </si>
  <si>
    <t>C++</t>
  </si>
  <si>
    <t>Kotlin</t>
  </si>
  <si>
    <t>Swift</t>
  </si>
  <si>
    <t>https://github.com/coqui-ai/TTS</t>
  </si>
  <si>
    <t>Repo Name</t>
  </si>
  <si>
    <t>Unique Primary Programming Language</t>
  </si>
  <si>
    <t>Sum of Stargazers</t>
  </si>
  <si>
    <t>Sum of Forks</t>
  </si>
  <si>
    <t>Sum of Starred Today</t>
  </si>
  <si>
    <t>Average of Stargazers</t>
  </si>
  <si>
    <t>Average of Forks</t>
  </si>
  <si>
    <t>Average of Starred Today</t>
  </si>
  <si>
    <t>Stared Today</t>
  </si>
  <si>
    <t>Github Trending Repositories Dashboard</t>
  </si>
  <si>
    <t>https://github.com/ripienaar/free-for-dev</t>
  </si>
  <si>
    <t>A list of SaaS, PaaS and IaaS offerings that have free tiers of interest to devops and infradev</t>
  </si>
  <si>
    <t>HTML</t>
  </si>
  <si>
    <t>https://github.com/SerenityOS/serenity</t>
  </si>
  <si>
    <t>The Serenity Operating System</t>
  </si>
  <si>
    <t>https://github.com/Dimillian/IceCubesApp</t>
  </si>
  <si>
    <t>A SwiftUI Mastodon client</t>
  </si>
  <si>
    <t>https://github.com/shadcn-ui/taxonomy</t>
  </si>
  <si>
    <t>An open source application built using the new router, server components and everything new in Next.js 13.</t>
  </si>
  <si>
    <t>https://github.com/neovim/neovim</t>
  </si>
  <si>
    <t>Vim-fork focused on extensibility and usability</t>
  </si>
  <si>
    <t>Vim Script</t>
  </si>
  <si>
    <t>https://github.com/elebumm/RedditVideoMakerBot</t>
  </si>
  <si>
    <t>Create Reddit Videos with just one command</t>
  </si>
  <si>
    <t>https://github.com/tiann/KernelSU</t>
  </si>
  <si>
    <t>A Kernel based root solution for Android</t>
  </si>
  <si>
    <t>https://github.com/immich-app/immich</t>
  </si>
  <si>
    <t>Self-hosted photo and video backup solution directly from your mobile phone.</t>
  </si>
  <si>
    <t>https://github.com/tailscale/tailscale</t>
  </si>
  <si>
    <t>The easiest, most secure way to use WireGuard and 2FA.</t>
  </si>
  <si>
    <t>https://github.com/invoke-ai/InvokeAI</t>
  </si>
  <si>
    <t>InvokeAI is a leading creative engine for Stable Diffusion models, empowering professionals, artists, and enthusiasts to generate and create visual media using the latest AI-driven technologies. The solution offers an industry leading WebUI, supports terminal use through a CLI, and serves as the foundation for multiple commercial products.</t>
  </si>
  <si>
    <t>https://github.com/godotengine/godot-cpp</t>
  </si>
  <si>
    <t>C++ bindings for the Godot script API</t>
  </si>
  <si>
    <t>https://github.com/SoftEtherVPN/SoftEtherVPN</t>
  </si>
  <si>
    <t>Cross-platform multi-protocol VPN software. Pull requests are welcome. The stable version is available at https://github.com/SoftEtherVPN/SoftEtherVPN_Stable.</t>
  </si>
  <si>
    <t>C</t>
  </si>
  <si>
    <t>https://github.com/nextcloud/server</t>
  </si>
  <si>
    <t>Nextcloud server, a safe home for all your data</t>
  </si>
  <si>
    <t>PHP</t>
  </si>
  <si>
    <t>https://github.com/nvim-telescope/telescope.nvim</t>
  </si>
  <si>
    <t>Find, Filter, Preview, Pick. All lua, all the time.</t>
  </si>
  <si>
    <t>Lua</t>
  </si>
  <si>
    <t>https://github.com/DioxusLabs/dioxus</t>
  </si>
  <si>
    <t>Fullstack GUI library for desktop, web, mobile, and more.</t>
  </si>
  <si>
    <t>https://github.com/0x192/universal-android-debloater</t>
  </si>
  <si>
    <t>Cross-platform GUI written in Rust using ADB to debloat non-rooted android devices. Improve your privacy, the security and battery life of your device.</t>
  </si>
  <si>
    <t>https://github.com/hyprwm/Hyprland</t>
  </si>
  <si>
    <t>Hyprland is a highly customizable dynamic tiling Wayland compositor that doesn't sacrifice on its looks.</t>
  </si>
  <si>
    <t>https://github.com/NationalSecurityAgency/ghidra</t>
  </si>
  <si>
    <t>Ghidra is a software reverse engineering (SRE) framework</t>
  </si>
  <si>
    <t>https://github.com/easydiffusion/easydiffusion</t>
  </si>
  <si>
    <t>Easiest 1-click way to create beautiful artwork on your PC using AI, with no tech knowledge. Provides a browser UI for generating images from text prompts and images. Just enter your text prompt, and see the generated image.</t>
  </si>
  <si>
    <t>JavaScript</t>
  </si>
  <si>
    <t>https://github.com/jellyfin/jellyfin</t>
  </si>
  <si>
    <t>The Free Software Media System</t>
  </si>
  <si>
    <t>C#</t>
  </si>
  <si>
    <t>https://github.com/MarlinFirmware/Marlin</t>
  </si>
  <si>
    <t>Marlin is an optimized firmware for RepRap 3D printers based on the Arduino platform. Many commercial 3D printers come with Marlin installed. Check with your vendor if you need source code for your specific machine.</t>
  </si>
  <si>
    <t>Total Sum of Stargazers</t>
  </si>
  <si>
    <t>Total Sum of Forks</t>
  </si>
  <si>
    <t>Total Sum of Starred Today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</si>
</sst>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3" x14ac:knownFonts="1">
    <font>
      <sz val="11"/>
      <color theme="1"/>
      <name val="Calibri"/>
      <family val="2"/>
      <scheme val="minor"/>
    </font>
    <font>
      <sz val="11"/>
      <color theme="1"/>
      <name val="Calibri"/>
      <family val="2"/>
      <scheme val="minor"/>
    </font>
    <font>
      <b/>
      <sz val="22"/>
      <color theme="0"/>
      <name val="Calibri"/>
      <family val="2"/>
      <scheme val="minor"/>
    </font>
  </fonts>
  <fills count="5">
    <fill>
      <patternFill patternType="none"/>
    </fill>
    <fill>
      <patternFill patternType="gray125"/>
    </fill>
    <fill>
      <patternFill patternType="solid">
        <fgColor theme="1" tint="0.14999847407452621"/>
        <bgColor indexed="64"/>
      </patternFill>
    </fill>
    <fill>
      <patternFill patternType="solid">
        <fgColor rgb="FF002060"/>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43" fontId="1" fillId="0" borderId="0" applyFont="0" applyFill="0" applyBorder="0" applyAlignment="0" applyProtection="0"/>
  </cellStyleXfs>
  <cellXfs count="11">
    <xf numFmtId="0" fontId="0" fillId="0" borderId="0" xfId="0"/>
    <xf numFmtId="3" fontId="0" fillId="0" borderId="0" xfId="0" applyNumberFormat="1"/>
    <xf numFmtId="0" fontId="0" fillId="2" borderId="0" xfId="0" applyFill="1"/>
    <xf numFmtId="3" fontId="0" fillId="2" borderId="0" xfId="0" applyNumberFormat="1" applyFill="1"/>
    <xf numFmtId="0" fontId="0" fillId="0" borderId="0" xfId="0" applyAlignment="1">
      <alignment horizontal="right" vertical="center"/>
    </xf>
    <xf numFmtId="164" fontId="0" fillId="0" borderId="0" xfId="1" applyNumberFormat="1" applyFont="1" applyFill="1" applyBorder="1"/>
    <xf numFmtId="0" fontId="0" fillId="4" borderId="0" xfId="0" applyFill="1"/>
    <xf numFmtId="0" fontId="0" fillId="0" borderId="0" xfId="0" applyAlignment="1">
      <alignment horizontal="right"/>
    </xf>
    <xf numFmtId="43" fontId="0" fillId="0" borderId="0" xfId="1" applyFont="1"/>
    <xf numFmtId="0" fontId="2" fillId="3" borderId="0" xfId="0" applyFont="1" applyFill="1" applyAlignment="1">
      <alignment horizontal="center" vertical="center"/>
    </xf>
    <xf numFmtId="164" fontId="0" fillId="0" borderId="0" xfId="1" applyNumberFormat="1" applyFont="1"/>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Sum of Stargazers and Forks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strRef>
              <c:f>DataCopy!$D$1</c:f>
              <c:strCache>
                <c:ptCount val="1"/>
                <c:pt idx="0">
                  <c:v>Stargazers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DataCopy!$G$2:$G$25</c:f>
              <c:strCache>
                <c:ptCount val="24"/>
                <c:pt idx="0">
                  <c:v>coqui-ai/TTS</c:v>
                </c:pt>
                <c:pt idx="1">
                  <c:v>AUTOMATIC1111/stable-diffusion-webui</c:v>
                </c:pt>
                <c:pt idx="2">
                  <c:v>godotengine/godot-demo-projects</c:v>
                </c:pt>
                <c:pt idx="3">
                  <c:v>ripienaar/free-for-dev</c:v>
                </c:pt>
                <c:pt idx="4">
                  <c:v>SerenityOS/serenity</c:v>
                </c:pt>
                <c:pt idx="5">
                  <c:v>Dimillian/IceCubesApp</c:v>
                </c:pt>
                <c:pt idx="6">
                  <c:v>shadcn-ui/taxonomy</c:v>
                </c:pt>
                <c:pt idx="7">
                  <c:v>neovim/neovim</c:v>
                </c:pt>
                <c:pt idx="8">
                  <c:v>elebumm/RedditVideoMakerBot</c:v>
                </c:pt>
                <c:pt idx="9">
                  <c:v>tiann/KernelSU</c:v>
                </c:pt>
                <c:pt idx="10">
                  <c:v>immich-app/immich</c:v>
                </c:pt>
                <c:pt idx="11">
                  <c:v>tailscale/tailscale</c:v>
                </c:pt>
                <c:pt idx="12">
                  <c:v>invoke-ai/InvokeAI</c:v>
                </c:pt>
                <c:pt idx="13">
                  <c:v>godotengine/godot-cpp</c:v>
                </c:pt>
                <c:pt idx="14">
                  <c:v>SoftEtherVPN/SoftEtherVPN</c:v>
                </c:pt>
                <c:pt idx="15">
                  <c:v>nextcloud/server</c:v>
                </c:pt>
                <c:pt idx="16">
                  <c:v>nvim-telescope/telescope.nvim</c:v>
                </c:pt>
                <c:pt idx="17">
                  <c:v>DioxusLabs/dioxus</c:v>
                </c:pt>
                <c:pt idx="18">
                  <c:v>0x192/universal-android-debloater</c:v>
                </c:pt>
                <c:pt idx="19">
                  <c:v>hyprwm/Hyprland</c:v>
                </c:pt>
                <c:pt idx="20">
                  <c:v>NationalSecurityAgency/ghidra</c:v>
                </c:pt>
                <c:pt idx="21">
                  <c:v>easydiffusion/easydiffusion</c:v>
                </c:pt>
                <c:pt idx="22">
                  <c:v>jellyfin/jellyfin</c:v>
                </c:pt>
                <c:pt idx="23">
                  <c:v>MarlinFirmware/Marlin</c:v>
                </c:pt>
              </c:strCache>
            </c:strRef>
          </c:cat>
          <c:val>
            <c:numRef>
              <c:f>DataCopy!$D$2:$D$25</c:f>
              <c:numCache>
                <c:formatCode>General</c:formatCode>
                <c:ptCount val="24"/>
                <c:pt idx="0">
                  <c:v>16709</c:v>
                </c:pt>
                <c:pt idx="1">
                  <c:v>102437</c:v>
                </c:pt>
                <c:pt idx="2">
                  <c:v>3869</c:v>
                </c:pt>
                <c:pt idx="3">
                  <c:v>73155</c:v>
                </c:pt>
                <c:pt idx="4">
                  <c:v>25980</c:v>
                </c:pt>
                <c:pt idx="5">
                  <c:v>3551</c:v>
                </c:pt>
                <c:pt idx="6">
                  <c:v>15168</c:v>
                </c:pt>
                <c:pt idx="7">
                  <c:v>69486</c:v>
                </c:pt>
                <c:pt idx="8">
                  <c:v>5505</c:v>
                </c:pt>
                <c:pt idx="9">
                  <c:v>4565</c:v>
                </c:pt>
                <c:pt idx="10">
                  <c:v>18543</c:v>
                </c:pt>
                <c:pt idx="11">
                  <c:v>13512</c:v>
                </c:pt>
                <c:pt idx="12">
                  <c:v>18792</c:v>
                </c:pt>
                <c:pt idx="13">
                  <c:v>1074</c:v>
                </c:pt>
                <c:pt idx="14">
                  <c:v>10450</c:v>
                </c:pt>
                <c:pt idx="15">
                  <c:v>23763</c:v>
                </c:pt>
                <c:pt idx="16">
                  <c:v>11248</c:v>
                </c:pt>
                <c:pt idx="17">
                  <c:v>13917</c:v>
                </c:pt>
                <c:pt idx="18">
                  <c:v>11340</c:v>
                </c:pt>
                <c:pt idx="19">
                  <c:v>10863</c:v>
                </c:pt>
                <c:pt idx="20">
                  <c:v>42703</c:v>
                </c:pt>
                <c:pt idx="21">
                  <c:v>7731</c:v>
                </c:pt>
                <c:pt idx="22">
                  <c:v>24842</c:v>
                </c:pt>
                <c:pt idx="23">
                  <c:v>15266</c:v>
                </c:pt>
              </c:numCache>
            </c:numRef>
          </c:val>
          <c:extLst>
            <c:ext xmlns:c16="http://schemas.microsoft.com/office/drawing/2014/chart" uri="{C3380CC4-5D6E-409C-BE32-E72D297353CC}">
              <c16:uniqueId val="{00000000-D764-4611-82F5-837D406BE26E}"/>
            </c:ext>
          </c:extLst>
        </c:ser>
        <c:ser>
          <c:idx val="1"/>
          <c:order val="1"/>
          <c:tx>
            <c:strRef>
              <c:f>DataCopy!$E$1</c:f>
              <c:strCache>
                <c:ptCount val="1"/>
                <c:pt idx="0">
                  <c:v>Forks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DataCopy!$G$2:$G$25</c:f>
              <c:strCache>
                <c:ptCount val="24"/>
                <c:pt idx="0">
                  <c:v>coqui-ai/TTS</c:v>
                </c:pt>
                <c:pt idx="1">
                  <c:v>AUTOMATIC1111/stable-diffusion-webui</c:v>
                </c:pt>
                <c:pt idx="2">
                  <c:v>godotengine/godot-demo-projects</c:v>
                </c:pt>
                <c:pt idx="3">
                  <c:v>ripienaar/free-for-dev</c:v>
                </c:pt>
                <c:pt idx="4">
                  <c:v>SerenityOS/serenity</c:v>
                </c:pt>
                <c:pt idx="5">
                  <c:v>Dimillian/IceCubesApp</c:v>
                </c:pt>
                <c:pt idx="6">
                  <c:v>shadcn-ui/taxonomy</c:v>
                </c:pt>
                <c:pt idx="7">
                  <c:v>neovim/neovim</c:v>
                </c:pt>
                <c:pt idx="8">
                  <c:v>elebumm/RedditVideoMakerBot</c:v>
                </c:pt>
                <c:pt idx="9">
                  <c:v>tiann/KernelSU</c:v>
                </c:pt>
                <c:pt idx="10">
                  <c:v>immich-app/immich</c:v>
                </c:pt>
                <c:pt idx="11">
                  <c:v>tailscale/tailscale</c:v>
                </c:pt>
                <c:pt idx="12">
                  <c:v>invoke-ai/InvokeAI</c:v>
                </c:pt>
                <c:pt idx="13">
                  <c:v>godotengine/godot-cpp</c:v>
                </c:pt>
                <c:pt idx="14">
                  <c:v>SoftEtherVPN/SoftEtherVPN</c:v>
                </c:pt>
                <c:pt idx="15">
                  <c:v>nextcloud/server</c:v>
                </c:pt>
                <c:pt idx="16">
                  <c:v>nvim-telescope/telescope.nvim</c:v>
                </c:pt>
                <c:pt idx="17">
                  <c:v>DioxusLabs/dioxus</c:v>
                </c:pt>
                <c:pt idx="18">
                  <c:v>0x192/universal-android-debloater</c:v>
                </c:pt>
                <c:pt idx="19">
                  <c:v>hyprwm/Hyprland</c:v>
                </c:pt>
                <c:pt idx="20">
                  <c:v>NationalSecurityAgency/ghidra</c:v>
                </c:pt>
                <c:pt idx="21">
                  <c:v>easydiffusion/easydiffusion</c:v>
                </c:pt>
                <c:pt idx="22">
                  <c:v>jellyfin/jellyfin</c:v>
                </c:pt>
                <c:pt idx="23">
                  <c:v>MarlinFirmware/Marlin</c:v>
                </c:pt>
              </c:strCache>
            </c:strRef>
          </c:cat>
          <c:val>
            <c:numRef>
              <c:f>DataCopy!$E$2:$E$25</c:f>
              <c:numCache>
                <c:formatCode>General</c:formatCode>
                <c:ptCount val="24"/>
                <c:pt idx="0">
                  <c:v>2042</c:v>
                </c:pt>
                <c:pt idx="1">
                  <c:v>20455</c:v>
                </c:pt>
                <c:pt idx="2">
                  <c:v>1336</c:v>
                </c:pt>
                <c:pt idx="3">
                  <c:v>8030</c:v>
                </c:pt>
                <c:pt idx="4">
                  <c:v>2828</c:v>
                </c:pt>
                <c:pt idx="5">
                  <c:v>326</c:v>
                </c:pt>
                <c:pt idx="6">
                  <c:v>1917</c:v>
                </c:pt>
                <c:pt idx="7">
                  <c:v>4872</c:v>
                </c:pt>
                <c:pt idx="8">
                  <c:v>1537</c:v>
                </c:pt>
                <c:pt idx="9">
                  <c:v>1112</c:v>
                </c:pt>
                <c:pt idx="10">
                  <c:v>746</c:v>
                </c:pt>
                <c:pt idx="11">
                  <c:v>959</c:v>
                </c:pt>
                <c:pt idx="12">
                  <c:v>1964</c:v>
                </c:pt>
                <c:pt idx="13">
                  <c:v>377</c:v>
                </c:pt>
                <c:pt idx="14">
                  <c:v>2471</c:v>
                </c:pt>
                <c:pt idx="15">
                  <c:v>3697</c:v>
                </c:pt>
                <c:pt idx="16">
                  <c:v>675</c:v>
                </c:pt>
                <c:pt idx="17">
                  <c:v>437</c:v>
                </c:pt>
                <c:pt idx="18">
                  <c:v>697</c:v>
                </c:pt>
                <c:pt idx="19">
                  <c:v>395</c:v>
                </c:pt>
                <c:pt idx="20">
                  <c:v>5187</c:v>
                </c:pt>
                <c:pt idx="21">
                  <c:v>644</c:v>
                </c:pt>
                <c:pt idx="22">
                  <c:v>2270</c:v>
                </c:pt>
                <c:pt idx="23">
                  <c:v>18603</c:v>
                </c:pt>
              </c:numCache>
            </c:numRef>
          </c:val>
          <c:extLst>
            <c:ext xmlns:c16="http://schemas.microsoft.com/office/drawing/2014/chart" uri="{C3380CC4-5D6E-409C-BE32-E72D297353CC}">
              <c16:uniqueId val="{00000001-D764-4611-82F5-837D406BE26E}"/>
            </c:ext>
          </c:extLst>
        </c:ser>
        <c:dLbls>
          <c:showLegendKey val="0"/>
          <c:showVal val="0"/>
          <c:showCatName val="0"/>
          <c:showSerName val="0"/>
          <c:showPercent val="0"/>
          <c:showBubbleSize val="0"/>
        </c:dLbls>
        <c:gapWidth val="150"/>
        <c:overlap val="100"/>
        <c:axId val="660058080"/>
        <c:axId val="660055560"/>
      </c:barChart>
      <c:catAx>
        <c:axId val="6600580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60055560"/>
        <c:crosses val="autoZero"/>
        <c:auto val="1"/>
        <c:lblAlgn val="ctr"/>
        <c:lblOffset val="100"/>
        <c:noMultiLvlLbl val="0"/>
      </c:catAx>
      <c:valAx>
        <c:axId val="66005556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6005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of Stargazers and Forks by Programming Language</a:t>
            </a:r>
          </a:p>
        </c:rich>
      </c:tx>
      <c:layout>
        <c:manualLayout>
          <c:xMode val="edge"/>
          <c:yMode val="edge"/>
          <c:x val="0.12221522309711289"/>
          <c:y val="4.6296296296296294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DataCopy!$M$2</c:f>
              <c:strCache>
                <c:ptCount val="1"/>
                <c:pt idx="0">
                  <c:v>Average of Stargazers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DataCopy!$I$3:$I$13</c:f>
              <c:strCache>
                <c:ptCount val="11"/>
                <c:pt idx="0">
                  <c:v>Python</c:v>
                </c:pt>
                <c:pt idx="1">
                  <c:v>GDScript</c:v>
                </c:pt>
                <c:pt idx="2">
                  <c:v>HTML</c:v>
                </c:pt>
                <c:pt idx="3">
                  <c:v>C++</c:v>
                </c:pt>
                <c:pt idx="4">
                  <c:v>Swift</c:v>
                </c:pt>
                <c:pt idx="5">
                  <c:v>TypeScript</c:v>
                </c:pt>
                <c:pt idx="6">
                  <c:v>Vim Script</c:v>
                </c:pt>
                <c:pt idx="7">
                  <c:v>Kotlin</c:v>
                </c:pt>
                <c:pt idx="8">
                  <c:v>Go</c:v>
                </c:pt>
                <c:pt idx="9">
                  <c:v>C</c:v>
                </c:pt>
                <c:pt idx="10">
                  <c:v>PHP</c:v>
                </c:pt>
              </c:strCache>
            </c:strRef>
          </c:cat>
          <c:val>
            <c:numRef>
              <c:f>DataCopy!$M$3:$M$13</c:f>
              <c:numCache>
                <c:formatCode>General</c:formatCode>
                <c:ptCount val="11"/>
                <c:pt idx="0">
                  <c:v>41550.333333333336</c:v>
                </c:pt>
                <c:pt idx="1">
                  <c:v>3869</c:v>
                </c:pt>
                <c:pt idx="2">
                  <c:v>73155</c:v>
                </c:pt>
                <c:pt idx="3">
                  <c:v>13295.75</c:v>
                </c:pt>
                <c:pt idx="4">
                  <c:v>3551</c:v>
                </c:pt>
                <c:pt idx="5">
                  <c:v>17501</c:v>
                </c:pt>
                <c:pt idx="6">
                  <c:v>69486</c:v>
                </c:pt>
                <c:pt idx="7">
                  <c:v>4565</c:v>
                </c:pt>
                <c:pt idx="8">
                  <c:v>13512</c:v>
                </c:pt>
                <c:pt idx="9">
                  <c:v>10450</c:v>
                </c:pt>
                <c:pt idx="10">
                  <c:v>23763</c:v>
                </c:pt>
              </c:numCache>
            </c:numRef>
          </c:val>
          <c:extLst>
            <c:ext xmlns:c16="http://schemas.microsoft.com/office/drawing/2014/chart" uri="{C3380CC4-5D6E-409C-BE32-E72D297353CC}">
              <c16:uniqueId val="{00000000-877D-4A3C-852B-42F90BC4F2E6}"/>
            </c:ext>
          </c:extLst>
        </c:ser>
        <c:ser>
          <c:idx val="1"/>
          <c:order val="1"/>
          <c:tx>
            <c:strRef>
              <c:f>DataCopy!$N$2</c:f>
              <c:strCache>
                <c:ptCount val="1"/>
                <c:pt idx="0">
                  <c:v>Average of Forks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DataCopy!$I$3:$I$13</c:f>
              <c:strCache>
                <c:ptCount val="11"/>
                <c:pt idx="0">
                  <c:v>Python</c:v>
                </c:pt>
                <c:pt idx="1">
                  <c:v>GDScript</c:v>
                </c:pt>
                <c:pt idx="2">
                  <c:v>HTML</c:v>
                </c:pt>
                <c:pt idx="3">
                  <c:v>C++</c:v>
                </c:pt>
                <c:pt idx="4">
                  <c:v>Swift</c:v>
                </c:pt>
                <c:pt idx="5">
                  <c:v>TypeScript</c:v>
                </c:pt>
                <c:pt idx="6">
                  <c:v>Vim Script</c:v>
                </c:pt>
                <c:pt idx="7">
                  <c:v>Kotlin</c:v>
                </c:pt>
                <c:pt idx="8">
                  <c:v>Go</c:v>
                </c:pt>
                <c:pt idx="9">
                  <c:v>C</c:v>
                </c:pt>
                <c:pt idx="10">
                  <c:v>PHP</c:v>
                </c:pt>
              </c:strCache>
            </c:strRef>
          </c:cat>
          <c:val>
            <c:numRef>
              <c:f>DataCopy!$N$3:$N$13</c:f>
              <c:numCache>
                <c:formatCode>General</c:formatCode>
                <c:ptCount val="11"/>
                <c:pt idx="0">
                  <c:v>8011.333333333333</c:v>
                </c:pt>
                <c:pt idx="1">
                  <c:v>1336</c:v>
                </c:pt>
                <c:pt idx="2">
                  <c:v>8030</c:v>
                </c:pt>
                <c:pt idx="3">
                  <c:v>5550.75</c:v>
                </c:pt>
                <c:pt idx="4">
                  <c:v>326</c:v>
                </c:pt>
                <c:pt idx="5">
                  <c:v>1542.3333333333333</c:v>
                </c:pt>
                <c:pt idx="6">
                  <c:v>4872</c:v>
                </c:pt>
                <c:pt idx="7">
                  <c:v>1112</c:v>
                </c:pt>
                <c:pt idx="8">
                  <c:v>959</c:v>
                </c:pt>
                <c:pt idx="9">
                  <c:v>2471</c:v>
                </c:pt>
                <c:pt idx="10">
                  <c:v>3697</c:v>
                </c:pt>
              </c:numCache>
            </c:numRef>
          </c:val>
          <c:extLst>
            <c:ext xmlns:c16="http://schemas.microsoft.com/office/drawing/2014/chart" uri="{C3380CC4-5D6E-409C-BE32-E72D297353CC}">
              <c16:uniqueId val="{00000001-877D-4A3C-852B-42F90BC4F2E6}"/>
            </c:ext>
          </c:extLst>
        </c:ser>
        <c:dLbls>
          <c:showLegendKey val="0"/>
          <c:showVal val="0"/>
          <c:showCatName val="0"/>
          <c:showSerName val="0"/>
          <c:showPercent val="0"/>
          <c:showBubbleSize val="0"/>
        </c:dLbls>
        <c:gapWidth val="100"/>
        <c:overlap val="-24"/>
        <c:axId val="621621304"/>
        <c:axId val="621621664"/>
      </c:barChart>
      <c:catAx>
        <c:axId val="6216213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1621664"/>
        <c:crosses val="autoZero"/>
        <c:auto val="1"/>
        <c:lblAlgn val="ctr"/>
        <c:lblOffset val="100"/>
        <c:noMultiLvlLbl val="0"/>
      </c:catAx>
      <c:valAx>
        <c:axId val="6216216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1621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Sums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2.4841915085817526E-2"/>
          <c:y val="0.15369738339021619"/>
          <c:w val="0.95031616982836498"/>
          <c:h val="0.72163398517164878"/>
        </c:manualLayout>
      </c:layout>
      <c:doughnutChart>
        <c:varyColors val="1"/>
        <c:ser>
          <c:idx val="0"/>
          <c:order val="0"/>
          <c:tx>
            <c:v>Total Sum</c:v>
          </c:tx>
          <c:explosion val="7"/>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85-4B1D-9867-FB19AF8E87B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85-4B1D-9867-FB19AF8E87B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6785-4B1D-9867-FB19AF8E87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DataCopy!$Q$3:$Q$5</c:f>
              <c:strCache>
                <c:ptCount val="3"/>
                <c:pt idx="0">
                  <c:v>Total Sum of Stargazers</c:v>
                </c:pt>
                <c:pt idx="1">
                  <c:v>Total Sum of Forks</c:v>
                </c:pt>
                <c:pt idx="2">
                  <c:v>Total Sum of Starred Today</c:v>
                </c:pt>
              </c:strCache>
            </c:strRef>
          </c:cat>
          <c:val>
            <c:numRef>
              <c:f>DataCopy!$R$3:$R$5</c:f>
              <c:numCache>
                <c:formatCode>_(* #,##0_);_(* \(#,##0\);_(* "-"??_);_(@_)</c:formatCode>
                <c:ptCount val="3"/>
                <c:pt idx="0">
                  <c:v>544469</c:v>
                </c:pt>
                <c:pt idx="1">
                  <c:v>83577</c:v>
                </c:pt>
                <c:pt idx="2">
                  <c:v>1988</c:v>
                </c:pt>
              </c:numCache>
            </c:numRef>
          </c:val>
          <c:extLst>
            <c:ext xmlns:c16="http://schemas.microsoft.com/office/drawing/2014/chart" uri="{C3380CC4-5D6E-409C-BE32-E72D297353CC}">
              <c16:uniqueId val="{00000008-7962-4313-9FA6-1AAF02AFC904}"/>
            </c:ext>
          </c:extLst>
        </c:ser>
        <c:dLbls>
          <c:showLegendKey val="0"/>
          <c:showVal val="0"/>
          <c:showCatName val="0"/>
          <c:showSerName val="0"/>
          <c:showPercent val="0"/>
          <c:showBubbleSize val="0"/>
          <c:showLeaderLines val="1"/>
        </c:dLbls>
        <c:firstSliceAng val="86"/>
        <c:holeSize val="57"/>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Sum of Starred Today</a:t>
            </a:r>
          </a:p>
          <a:p>
            <a:pPr>
              <a:defRPr/>
            </a:pPr>
            <a:r>
              <a:rPr lang="en-US"/>
              <a:t>by</a:t>
            </a:r>
            <a:r>
              <a:rPr lang="en-US" baseline="0"/>
              <a:t> Programming Language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DataCopy!$L$2</c:f>
              <c:strCache>
                <c:ptCount val="1"/>
                <c:pt idx="0">
                  <c:v>Sum of Starred Today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DataCopy!$I$3:$I$13</c:f>
              <c:strCache>
                <c:ptCount val="11"/>
                <c:pt idx="0">
                  <c:v>Python</c:v>
                </c:pt>
                <c:pt idx="1">
                  <c:v>GDScript</c:v>
                </c:pt>
                <c:pt idx="2">
                  <c:v>HTML</c:v>
                </c:pt>
                <c:pt idx="3">
                  <c:v>C++</c:v>
                </c:pt>
                <c:pt idx="4">
                  <c:v>Swift</c:v>
                </c:pt>
                <c:pt idx="5">
                  <c:v>TypeScript</c:v>
                </c:pt>
                <c:pt idx="6">
                  <c:v>Vim Script</c:v>
                </c:pt>
                <c:pt idx="7">
                  <c:v>Kotlin</c:v>
                </c:pt>
                <c:pt idx="8">
                  <c:v>Go</c:v>
                </c:pt>
                <c:pt idx="9">
                  <c:v>C</c:v>
                </c:pt>
                <c:pt idx="10">
                  <c:v>PHP</c:v>
                </c:pt>
              </c:strCache>
            </c:strRef>
          </c:cat>
          <c:val>
            <c:numRef>
              <c:f>DataCopy!$L$3:$L$13</c:f>
              <c:numCache>
                <c:formatCode>_(* #,##0_);_(* \(#,##0\);_(* "-"??_);_(@_)</c:formatCode>
                <c:ptCount val="11"/>
                <c:pt idx="0">
                  <c:v>1406</c:v>
                </c:pt>
                <c:pt idx="1">
                  <c:v>65</c:v>
                </c:pt>
                <c:pt idx="2">
                  <c:v>30</c:v>
                </c:pt>
                <c:pt idx="3">
                  <c:v>168</c:v>
                </c:pt>
                <c:pt idx="4">
                  <c:v>7</c:v>
                </c:pt>
                <c:pt idx="5">
                  <c:v>91</c:v>
                </c:pt>
                <c:pt idx="6">
                  <c:v>46</c:v>
                </c:pt>
                <c:pt idx="7">
                  <c:v>7</c:v>
                </c:pt>
                <c:pt idx="8">
                  <c:v>23</c:v>
                </c:pt>
                <c:pt idx="9">
                  <c:v>6</c:v>
                </c:pt>
                <c:pt idx="10">
                  <c:v>9</c:v>
                </c:pt>
              </c:numCache>
            </c:numRef>
          </c:val>
          <c:extLst>
            <c:ext xmlns:c16="http://schemas.microsoft.com/office/drawing/2014/chart" uri="{C3380CC4-5D6E-409C-BE32-E72D297353CC}">
              <c16:uniqueId val="{00000000-412B-478F-81FF-475A3646BB4D}"/>
            </c:ext>
          </c:extLst>
        </c:ser>
        <c:dLbls>
          <c:showLegendKey val="0"/>
          <c:showVal val="0"/>
          <c:showCatName val="0"/>
          <c:showSerName val="0"/>
          <c:showPercent val="0"/>
          <c:showBubbleSize val="0"/>
        </c:dLbls>
        <c:gapWidth val="100"/>
        <c:overlap val="-24"/>
        <c:axId val="621627064"/>
        <c:axId val="621624184"/>
      </c:barChart>
      <c:catAx>
        <c:axId val="6216270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1624184"/>
        <c:crosses val="autoZero"/>
        <c:auto val="1"/>
        <c:lblAlgn val="ctr"/>
        <c:lblOffset val="100"/>
        <c:noMultiLvlLbl val="0"/>
      </c:catAx>
      <c:valAx>
        <c:axId val="621624184"/>
        <c:scaling>
          <c:orientation val="minMax"/>
        </c:scaling>
        <c:delete val="0"/>
        <c:axPos val="l"/>
        <c:majorGridlines>
          <c:spPr>
            <a:ln w="9525" cap="flat" cmpd="sng" algn="ctr">
              <a:solidFill>
                <a:schemeClr val="lt1">
                  <a:lumMod val="95000"/>
                  <a:alpha val="10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1627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of Starred Today</a:t>
            </a:r>
          </a:p>
          <a:p>
            <a:pPr>
              <a:defRPr/>
            </a:pPr>
            <a:r>
              <a:rPr lang="en-US"/>
              <a:t>by Programming Language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DataCopy!$O$2</c:f>
              <c:strCache>
                <c:ptCount val="1"/>
                <c:pt idx="0">
                  <c:v>Average of Starred Today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DataCopy!$I$3:$I$13</c:f>
              <c:strCache>
                <c:ptCount val="11"/>
                <c:pt idx="0">
                  <c:v>Python</c:v>
                </c:pt>
                <c:pt idx="1">
                  <c:v>GDScript</c:v>
                </c:pt>
                <c:pt idx="2">
                  <c:v>HTML</c:v>
                </c:pt>
                <c:pt idx="3">
                  <c:v>C++</c:v>
                </c:pt>
                <c:pt idx="4">
                  <c:v>Swift</c:v>
                </c:pt>
                <c:pt idx="5">
                  <c:v>TypeScript</c:v>
                </c:pt>
                <c:pt idx="6">
                  <c:v>Vim Script</c:v>
                </c:pt>
                <c:pt idx="7">
                  <c:v>Kotlin</c:v>
                </c:pt>
                <c:pt idx="8">
                  <c:v>Go</c:v>
                </c:pt>
                <c:pt idx="9">
                  <c:v>C</c:v>
                </c:pt>
                <c:pt idx="10">
                  <c:v>PHP</c:v>
                </c:pt>
              </c:strCache>
            </c:strRef>
          </c:cat>
          <c:val>
            <c:numRef>
              <c:f>DataCopy!$O$3:$O$13</c:f>
              <c:numCache>
                <c:formatCode>General</c:formatCode>
                <c:ptCount val="11"/>
                <c:pt idx="0">
                  <c:v>468.66666666666669</c:v>
                </c:pt>
                <c:pt idx="1">
                  <c:v>65</c:v>
                </c:pt>
                <c:pt idx="2">
                  <c:v>30</c:v>
                </c:pt>
                <c:pt idx="3">
                  <c:v>42</c:v>
                </c:pt>
                <c:pt idx="4">
                  <c:v>7</c:v>
                </c:pt>
                <c:pt idx="5">
                  <c:v>30.333333333333332</c:v>
                </c:pt>
                <c:pt idx="6">
                  <c:v>46</c:v>
                </c:pt>
                <c:pt idx="7">
                  <c:v>7</c:v>
                </c:pt>
                <c:pt idx="8">
                  <c:v>23</c:v>
                </c:pt>
                <c:pt idx="9">
                  <c:v>6</c:v>
                </c:pt>
                <c:pt idx="10">
                  <c:v>9</c:v>
                </c:pt>
              </c:numCache>
            </c:numRef>
          </c:val>
          <c:extLst>
            <c:ext xmlns:c16="http://schemas.microsoft.com/office/drawing/2014/chart" uri="{C3380CC4-5D6E-409C-BE32-E72D297353CC}">
              <c16:uniqueId val="{00000000-A116-42EE-B562-824F69886533}"/>
            </c:ext>
          </c:extLst>
        </c:ser>
        <c:dLbls>
          <c:showLegendKey val="0"/>
          <c:showVal val="0"/>
          <c:showCatName val="0"/>
          <c:showSerName val="0"/>
          <c:showPercent val="0"/>
          <c:showBubbleSize val="0"/>
        </c:dLbls>
        <c:gapWidth val="115"/>
        <c:overlap val="-20"/>
        <c:axId val="621658024"/>
        <c:axId val="621648664"/>
      </c:barChart>
      <c:catAx>
        <c:axId val="62165802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1648664"/>
        <c:crosses val="autoZero"/>
        <c:auto val="1"/>
        <c:lblAlgn val="ctr"/>
        <c:lblOffset val="100"/>
        <c:noMultiLvlLbl val="0"/>
      </c:catAx>
      <c:valAx>
        <c:axId val="62164866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1658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Sum of Stargazers by Programming Language</cx:v>
        </cx:txData>
      </cx:tx>
      <cx:txPr>
        <a:bodyPr spcFirstLastPara="1" vertOverflow="ellipsis" horzOverflow="overflow" wrap="square" lIns="0" tIns="0" rIns="0" bIns="0" anchor="ctr" anchorCtr="1"/>
        <a:lstStyle/>
        <a:p>
          <a:pPr algn="ctr" rtl="0">
            <a:defRPr/>
          </a:pPr>
          <a:r>
            <a:rPr lang="en-US" sz="1600" b="1" i="0" u="none" strike="noStrike" spc="100" baseline="0">
              <a:solidFill>
                <a:sysClr val="window" lastClr="FFFFFF">
                  <a:lumMod val="95000"/>
                </a:sysClr>
              </a:solidFill>
              <a:effectLst>
                <a:outerShdw blurRad="50800" dist="38100" dir="5400000" algn="t" rotWithShape="0">
                  <a:prstClr val="black">
                    <a:alpha val="40000"/>
                  </a:prstClr>
                </a:outerShdw>
              </a:effectLst>
              <a:latin typeface="Calibri" panose="020F0502020204030204"/>
            </a:rPr>
            <a:t>Sum of Stargazers by Programming Language</a:t>
          </a:r>
        </a:p>
      </cx:txPr>
    </cx:title>
    <cx:plotArea>
      <cx:plotAreaRegion>
        <cx:series layoutId="treemap" uniqueId="{0B01DE67-0166-4CBC-A31D-90CEA451EF01}">
          <cx:tx>
            <cx:txData>
              <cx:f>_xlchart.v1.1</cx:f>
              <cx:v>Sum of Stargazers</cx:v>
            </cx:txData>
          </cx:tx>
          <cx:dataLabels pos="inEnd">
            <cx:visibility seriesName="0" categoryName="1" value="1"/>
            <cx:separator>
</cx:separator>
          </cx:dataLabels>
          <cx:dataId val="0"/>
          <cx:layoutPr>
            <cx:parentLabelLayout val="overlapping"/>
          </cx:layoutPr>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5">
  <cs:axisTitle>
    <cs:lnRef idx="0"/>
    <cs:fillRef idx="0"/>
    <cs:effectRef idx="0"/>
    <cs:fontRef idx="minor">
      <a:schemeClr val="lt1">
        <a:lumMod val="95000"/>
      </a:schemeClr>
    </cs:fontRef>
    <cs:spPr>
      <a:solidFill>
        <a:schemeClr val="bg1">
          <a:lumMod val="65000"/>
        </a:schemeClr>
      </a:solidFill>
      <a:ln>
        <a:solidFill>
          <a:schemeClr val="tx1"/>
        </a:solidFill>
      </a:ln>
    </cs:spPr>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23</xdr:row>
      <xdr:rowOff>53340</xdr:rowOff>
    </xdr:from>
    <xdr:to>
      <xdr:col>12</xdr:col>
      <xdr:colOff>83820</xdr:colOff>
      <xdr:row>42</xdr:row>
      <xdr:rowOff>7620</xdr:rowOff>
    </xdr:to>
    <xdr:graphicFrame macro="">
      <xdr:nvGraphicFramePr>
        <xdr:cNvPr id="2" name="Chart 3">
          <a:extLst>
            <a:ext uri="{FF2B5EF4-FFF2-40B4-BE49-F238E27FC236}">
              <a16:creationId xmlns:a16="http://schemas.microsoft.com/office/drawing/2014/main" id="{3E0DF1A0-BDC3-2B0D-6411-55AD9A1CB9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609600</xdr:colOff>
      <xdr:row>0</xdr:row>
      <xdr:rowOff>11430</xdr:rowOff>
    </xdr:from>
    <xdr:to>
      <xdr:col>18</xdr:col>
      <xdr:colOff>152400</xdr:colOff>
      <xdr:row>23</xdr:row>
      <xdr:rowOff>45720</xdr:rowOff>
    </xdr:to>
    <mc:AlternateContent xmlns:mc="http://schemas.openxmlformats.org/markup-compatibility/2006">
      <mc:Choice xmlns:cx1="http://schemas.microsoft.com/office/drawing/2015/9/8/chartex" Requires="cx1">
        <xdr:graphicFrame macro="">
          <xdr:nvGraphicFramePr>
            <xdr:cNvPr id="4" name="Chart 2">
              <a:extLst>
                <a:ext uri="{FF2B5EF4-FFF2-40B4-BE49-F238E27FC236}">
                  <a16:creationId xmlns:a16="http://schemas.microsoft.com/office/drawing/2014/main" id="{54DDDE3C-EABA-7FD9-3819-C40EFE6C5BB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4930140" y="11430"/>
              <a:ext cx="6332220" cy="424053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5</xdr:row>
      <xdr:rowOff>7620</xdr:rowOff>
    </xdr:from>
    <xdr:to>
      <xdr:col>8</xdr:col>
      <xdr:colOff>0</xdr:colOff>
      <xdr:row>23</xdr:row>
      <xdr:rowOff>45720</xdr:rowOff>
    </xdr:to>
    <xdr:graphicFrame macro="">
      <xdr:nvGraphicFramePr>
        <xdr:cNvPr id="5" name="Chart 5">
          <a:extLst>
            <a:ext uri="{FF2B5EF4-FFF2-40B4-BE49-F238E27FC236}">
              <a16:creationId xmlns:a16="http://schemas.microsoft.com/office/drawing/2014/main" id="{840E78E2-01E4-B29C-80D7-65CF37FD82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83820</xdr:colOff>
      <xdr:row>23</xdr:row>
      <xdr:rowOff>53340</xdr:rowOff>
    </xdr:from>
    <xdr:to>
      <xdr:col>18</xdr:col>
      <xdr:colOff>152400</xdr:colOff>
      <xdr:row>42</xdr:row>
      <xdr:rowOff>7620</xdr:rowOff>
    </xdr:to>
    <xdr:graphicFrame macro="">
      <xdr:nvGraphicFramePr>
        <xdr:cNvPr id="6" name="Chart 6">
          <a:extLst>
            <a:ext uri="{FF2B5EF4-FFF2-40B4-BE49-F238E27FC236}">
              <a16:creationId xmlns:a16="http://schemas.microsoft.com/office/drawing/2014/main" id="{F9C737DD-00B3-E109-E264-34AB5471EC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152400</xdr:colOff>
      <xdr:row>16</xdr:row>
      <xdr:rowOff>91440</xdr:rowOff>
    </xdr:from>
    <xdr:to>
      <xdr:col>25</xdr:col>
      <xdr:colOff>571500</xdr:colOff>
      <xdr:row>42</xdr:row>
      <xdr:rowOff>7620</xdr:rowOff>
    </xdr:to>
    <xdr:graphicFrame macro="">
      <xdr:nvGraphicFramePr>
        <xdr:cNvPr id="7" name="Chart 7">
          <a:extLst>
            <a:ext uri="{FF2B5EF4-FFF2-40B4-BE49-F238E27FC236}">
              <a16:creationId xmlns:a16="http://schemas.microsoft.com/office/drawing/2014/main" id="{E62462F5-87B8-F0BA-D37C-EE903A2BFD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160020</xdr:colOff>
      <xdr:row>0</xdr:row>
      <xdr:rowOff>0</xdr:rowOff>
    </xdr:from>
    <xdr:to>
      <xdr:col>25</xdr:col>
      <xdr:colOff>571500</xdr:colOff>
      <xdr:row>16</xdr:row>
      <xdr:rowOff>83820</xdr:rowOff>
    </xdr:to>
    <xdr:graphicFrame macro="">
      <xdr:nvGraphicFramePr>
        <xdr:cNvPr id="8" name="Chart 8">
          <a:extLst>
            <a:ext uri="{FF2B5EF4-FFF2-40B4-BE49-F238E27FC236}">
              <a16:creationId xmlns:a16="http://schemas.microsoft.com/office/drawing/2014/main" id="{97CC359A-AFE6-2496-E8F6-48A1F1E81C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8544-0A1E-46B5-A9D1-0A37D9B7EDF5}">
  <sheetPr codeName="Sheet1"/>
  <dimension ref="A1:I27"/>
  <sheetViews>
    <sheetView workbookViewId="0">
      <selection activeCell="F26" sqref="F26"/>
    </sheetView>
  </sheetViews>
  <sheetFormatPr defaultRowHeight="14.4" x14ac:dyDescent="0.3"/>
  <cols>
    <col min="1" max="4" width="8.88671875" bestFit="1" customWidth="1"/>
    <col min="5" max="5" width="6.44140625" bestFit="1" customWidth="1"/>
    <col min="6" max="6" width="8.88671875" bestFit="1" customWidth="1"/>
    <col min="7" max="7" width="34.88671875" bestFit="1" customWidth="1"/>
    <col min="9" max="9" width="27.88671875" style="4" bestFit="1" customWidth="1"/>
    <col min="10" max="10" width="16.109375" bestFit="1" customWidth="1"/>
    <col min="11" max="11" width="11.88671875" bestFit="1" customWidth="1"/>
    <col min="12" max="12" width="18.77734375" bestFit="1" customWidth="1"/>
  </cols>
  <sheetData>
    <row r="1" spans="1:9" x14ac:dyDescent="0.3">
      <c r="A1" t="s">
        <v>0</v>
      </c>
      <c r="B1" t="s">
        <v>3</v>
      </c>
      <c r="C1" t="s">
        <v>4</v>
      </c>
      <c r="D1" t="s">
        <v>5</v>
      </c>
      <c r="E1" t="s">
        <v>6</v>
      </c>
      <c r="F1" t="s">
        <v>27</v>
      </c>
      <c r="I1"/>
    </row>
    <row r="2" spans="1:9" x14ac:dyDescent="0.3">
      <c r="A2" t="s">
        <v>18</v>
      </c>
      <c r="B2" t="e" cm="1">
        <f t="array" ref="B2">- a deep learning toolkit for Text-to-Speech, battle-tested in research and production</f>
        <v>#NAME?</v>
      </c>
      <c r="C2" t="s">
        <v>10</v>
      </c>
      <c r="D2" s="1">
        <v>16709</v>
      </c>
      <c r="E2" s="1">
        <v>2042</v>
      </c>
      <c r="F2" s="1">
        <v>1285</v>
      </c>
      <c r="I2"/>
    </row>
    <row r="3" spans="1:9" x14ac:dyDescent="0.3">
      <c r="A3" t="s">
        <v>2</v>
      </c>
      <c r="B3" t="s">
        <v>12</v>
      </c>
      <c r="C3" t="s">
        <v>10</v>
      </c>
      <c r="D3" s="1">
        <v>102437</v>
      </c>
      <c r="E3" s="1">
        <v>20455</v>
      </c>
      <c r="F3">
        <v>115</v>
      </c>
      <c r="I3"/>
    </row>
    <row r="4" spans="1:9" x14ac:dyDescent="0.3">
      <c r="A4" t="s">
        <v>1</v>
      </c>
      <c r="B4" t="s">
        <v>7</v>
      </c>
      <c r="C4" t="s">
        <v>8</v>
      </c>
      <c r="D4" s="1">
        <v>3869</v>
      </c>
      <c r="E4" s="1">
        <v>1336</v>
      </c>
      <c r="F4">
        <v>65</v>
      </c>
      <c r="I4"/>
    </row>
    <row r="5" spans="1:9" x14ac:dyDescent="0.3">
      <c r="A5" t="s">
        <v>29</v>
      </c>
      <c r="B5" t="s">
        <v>30</v>
      </c>
      <c r="C5" t="s">
        <v>31</v>
      </c>
      <c r="D5" s="1">
        <v>73155</v>
      </c>
      <c r="E5" s="1">
        <v>8030</v>
      </c>
      <c r="F5">
        <v>30</v>
      </c>
      <c r="I5"/>
    </row>
    <row r="6" spans="1:9" x14ac:dyDescent="0.3">
      <c r="A6" t="s">
        <v>32</v>
      </c>
      <c r="B6" t="s">
        <v>33</v>
      </c>
      <c r="C6" t="s">
        <v>15</v>
      </c>
      <c r="D6" s="1">
        <v>25980</v>
      </c>
      <c r="E6" s="1">
        <v>2828</v>
      </c>
      <c r="F6">
        <v>12</v>
      </c>
      <c r="I6"/>
    </row>
    <row r="7" spans="1:9" x14ac:dyDescent="0.3">
      <c r="A7" t="s">
        <v>34</v>
      </c>
      <c r="B7" t="s">
        <v>35</v>
      </c>
      <c r="C7" t="s">
        <v>17</v>
      </c>
      <c r="D7" s="1">
        <v>3551</v>
      </c>
      <c r="E7">
        <v>326</v>
      </c>
      <c r="F7">
        <v>7</v>
      </c>
      <c r="I7"/>
    </row>
    <row r="8" spans="1:9" x14ac:dyDescent="0.3">
      <c r="A8" t="s">
        <v>36</v>
      </c>
      <c r="B8" t="s">
        <v>37</v>
      </c>
      <c r="C8" t="s">
        <v>9</v>
      </c>
      <c r="D8" s="1">
        <v>15168</v>
      </c>
      <c r="E8" s="1">
        <v>1917</v>
      </c>
      <c r="F8">
        <v>42</v>
      </c>
      <c r="I8"/>
    </row>
    <row r="9" spans="1:9" x14ac:dyDescent="0.3">
      <c r="A9" t="s">
        <v>38</v>
      </c>
      <c r="B9" t="s">
        <v>39</v>
      </c>
      <c r="C9" t="s">
        <v>40</v>
      </c>
      <c r="D9" s="1">
        <v>69486</v>
      </c>
      <c r="E9" s="1">
        <v>4872</v>
      </c>
      <c r="F9">
        <v>46</v>
      </c>
      <c r="I9"/>
    </row>
    <row r="10" spans="1:9" x14ac:dyDescent="0.3">
      <c r="A10" t="s">
        <v>41</v>
      </c>
      <c r="B10" t="s">
        <v>42</v>
      </c>
      <c r="C10" t="s">
        <v>10</v>
      </c>
      <c r="D10" s="1">
        <v>5505</v>
      </c>
      <c r="E10" s="1">
        <v>1537</v>
      </c>
      <c r="F10">
        <v>6</v>
      </c>
      <c r="I10"/>
    </row>
    <row r="11" spans="1:9" x14ac:dyDescent="0.3">
      <c r="A11" t="s">
        <v>43</v>
      </c>
      <c r="B11" t="s">
        <v>44</v>
      </c>
      <c r="C11" t="s">
        <v>16</v>
      </c>
      <c r="D11" s="1">
        <v>4565</v>
      </c>
      <c r="E11" s="1">
        <v>1112</v>
      </c>
      <c r="F11">
        <v>7</v>
      </c>
      <c r="I11"/>
    </row>
    <row r="12" spans="1:9" x14ac:dyDescent="0.3">
      <c r="A12" t="s">
        <v>45</v>
      </c>
      <c r="B12" t="s">
        <v>46</v>
      </c>
      <c r="C12" t="s">
        <v>9</v>
      </c>
      <c r="D12" s="1">
        <v>18543</v>
      </c>
      <c r="E12">
        <v>746</v>
      </c>
      <c r="F12">
        <v>37</v>
      </c>
      <c r="I12"/>
    </row>
    <row r="13" spans="1:9" x14ac:dyDescent="0.3">
      <c r="A13" t="s">
        <v>47</v>
      </c>
      <c r="B13" t="s">
        <v>48</v>
      </c>
      <c r="C13" t="s">
        <v>14</v>
      </c>
      <c r="D13" s="1">
        <v>13512</v>
      </c>
      <c r="E13">
        <v>959</v>
      </c>
      <c r="F13">
        <v>23</v>
      </c>
      <c r="I13"/>
    </row>
    <row r="14" spans="1:9" x14ac:dyDescent="0.3">
      <c r="A14" t="s">
        <v>49</v>
      </c>
      <c r="B14" t="s">
        <v>50</v>
      </c>
      <c r="C14" t="s">
        <v>9</v>
      </c>
      <c r="D14" s="1">
        <v>18792</v>
      </c>
      <c r="E14" s="1">
        <v>1964</v>
      </c>
      <c r="F14">
        <v>12</v>
      </c>
      <c r="I14"/>
    </row>
    <row r="15" spans="1:9" x14ac:dyDescent="0.3">
      <c r="A15" t="s">
        <v>51</v>
      </c>
      <c r="B15" t="s">
        <v>52</v>
      </c>
      <c r="C15" t="s">
        <v>15</v>
      </c>
      <c r="D15" s="1">
        <v>1074</v>
      </c>
      <c r="E15">
        <v>377</v>
      </c>
      <c r="F15">
        <v>53</v>
      </c>
      <c r="I15"/>
    </row>
    <row r="16" spans="1:9" x14ac:dyDescent="0.3">
      <c r="A16" t="s">
        <v>53</v>
      </c>
      <c r="B16" t="s">
        <v>54</v>
      </c>
      <c r="C16" t="s">
        <v>55</v>
      </c>
      <c r="D16" s="1">
        <v>10450</v>
      </c>
      <c r="E16" s="1">
        <v>2471</v>
      </c>
      <c r="F16">
        <v>6</v>
      </c>
      <c r="I16"/>
    </row>
    <row r="17" spans="1:9" x14ac:dyDescent="0.3">
      <c r="A17" t="s">
        <v>56</v>
      </c>
      <c r="B17" t="s">
        <v>57</v>
      </c>
      <c r="C17" t="s">
        <v>58</v>
      </c>
      <c r="D17" s="1">
        <v>23763</v>
      </c>
      <c r="E17" s="1">
        <v>3697</v>
      </c>
      <c r="F17">
        <v>9</v>
      </c>
      <c r="I17"/>
    </row>
    <row r="18" spans="1:9" x14ac:dyDescent="0.3">
      <c r="A18" t="s">
        <v>59</v>
      </c>
      <c r="B18" t="s">
        <v>60</v>
      </c>
      <c r="C18" t="s">
        <v>61</v>
      </c>
      <c r="D18" s="1">
        <v>11248</v>
      </c>
      <c r="E18">
        <v>675</v>
      </c>
      <c r="F18">
        <v>11</v>
      </c>
      <c r="I18"/>
    </row>
    <row r="19" spans="1:9" x14ac:dyDescent="0.3">
      <c r="A19" t="s">
        <v>62</v>
      </c>
      <c r="B19" t="s">
        <v>63</v>
      </c>
      <c r="C19" t="s">
        <v>11</v>
      </c>
      <c r="D19" s="1">
        <v>13917</v>
      </c>
      <c r="E19">
        <v>437</v>
      </c>
      <c r="F19">
        <v>14</v>
      </c>
      <c r="I19"/>
    </row>
    <row r="20" spans="1:9" x14ac:dyDescent="0.3">
      <c r="A20" t="s">
        <v>64</v>
      </c>
      <c r="B20" t="s">
        <v>65</v>
      </c>
      <c r="C20" t="s">
        <v>11</v>
      </c>
      <c r="D20" s="1">
        <v>11340</v>
      </c>
      <c r="E20">
        <v>697</v>
      </c>
      <c r="F20">
        <v>22</v>
      </c>
      <c r="I20"/>
    </row>
    <row r="21" spans="1:9" x14ac:dyDescent="0.3">
      <c r="A21" t="s">
        <v>66</v>
      </c>
      <c r="B21" t="s">
        <v>67</v>
      </c>
      <c r="C21" t="s">
        <v>15</v>
      </c>
      <c r="D21" s="1">
        <v>10863</v>
      </c>
      <c r="E21">
        <v>395</v>
      </c>
      <c r="F21">
        <v>42</v>
      </c>
      <c r="I21"/>
    </row>
    <row r="22" spans="1:9" x14ac:dyDescent="0.3">
      <c r="A22" t="s">
        <v>68</v>
      </c>
      <c r="B22" t="s">
        <v>69</v>
      </c>
      <c r="C22" t="s">
        <v>13</v>
      </c>
      <c r="D22" s="1">
        <v>42703</v>
      </c>
      <c r="E22" s="1">
        <v>5187</v>
      </c>
      <c r="F22">
        <v>51</v>
      </c>
      <c r="I22"/>
    </row>
    <row r="23" spans="1:9" x14ac:dyDescent="0.3">
      <c r="A23" t="s">
        <v>70</v>
      </c>
      <c r="B23" t="s">
        <v>71</v>
      </c>
      <c r="C23" t="s">
        <v>72</v>
      </c>
      <c r="D23" s="1">
        <v>7731</v>
      </c>
      <c r="E23">
        <v>644</v>
      </c>
      <c r="F23">
        <v>11</v>
      </c>
      <c r="I23"/>
    </row>
    <row r="24" spans="1:9" x14ac:dyDescent="0.3">
      <c r="A24" t="s">
        <v>73</v>
      </c>
      <c r="B24" t="s">
        <v>74</v>
      </c>
      <c r="C24" t="s">
        <v>75</v>
      </c>
      <c r="D24" s="1">
        <v>24842</v>
      </c>
      <c r="E24" s="1">
        <v>2270</v>
      </c>
      <c r="F24">
        <v>21</v>
      </c>
      <c r="I24"/>
    </row>
    <row r="25" spans="1:9" x14ac:dyDescent="0.3">
      <c r="A25" t="s">
        <v>76</v>
      </c>
      <c r="B25" t="s">
        <v>77</v>
      </c>
      <c r="C25" t="s">
        <v>15</v>
      </c>
      <c r="D25" s="1">
        <v>15266</v>
      </c>
      <c r="E25" s="1">
        <v>18603</v>
      </c>
      <c r="F25">
        <v>61</v>
      </c>
      <c r="I25"/>
    </row>
    <row r="26" spans="1:9" x14ac:dyDescent="0.3">
      <c r="I26"/>
    </row>
    <row r="27" spans="1:9" x14ac:dyDescent="0.3">
      <c r="I2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67620-564C-439D-BBD9-35DC92ADD933}">
  <dimension ref="A1:R26"/>
  <sheetViews>
    <sheetView workbookViewId="0">
      <selection activeCell="R3" sqref="R3:R5"/>
    </sheetView>
  </sheetViews>
  <sheetFormatPr defaultRowHeight="14.4" x14ac:dyDescent="0.3"/>
  <cols>
    <col min="1" max="1" width="51.44140625" bestFit="1" customWidth="1"/>
    <col min="2" max="2" width="95" customWidth="1"/>
    <col min="3" max="3" width="27" bestFit="1" customWidth="1"/>
    <col min="7" max="7" width="34.88671875" bestFit="1" customWidth="1"/>
    <col min="9" max="9" width="33.33203125" bestFit="1" customWidth="1"/>
    <col min="10" max="10" width="15.5546875" bestFit="1" customWidth="1"/>
    <col min="11" max="11" width="11.44140625" bestFit="1" customWidth="1"/>
    <col min="12" max="12" width="18.6640625" bestFit="1" customWidth="1"/>
    <col min="13" max="13" width="18.77734375" bestFit="1" customWidth="1"/>
    <col min="14" max="14" width="14.6640625" bestFit="1" customWidth="1"/>
    <col min="15" max="15" width="21.88671875" bestFit="1" customWidth="1"/>
    <col min="17" max="17" width="24" bestFit="1" customWidth="1"/>
    <col min="18" max="18" width="12.5546875" bestFit="1" customWidth="1"/>
  </cols>
  <sheetData>
    <row r="1" spans="1:18" x14ac:dyDescent="0.3">
      <c r="A1" s="1" t="str">
        <f>Data!A1</f>
        <v>Repository</v>
      </c>
      <c r="B1" t="str">
        <f>Data!B1</f>
        <v>Description</v>
      </c>
      <c r="C1" t="str">
        <f>Data!C1</f>
        <v>Primary Programming Language</v>
      </c>
      <c r="D1" t="str">
        <f>Data!D1</f>
        <v>Stargazers</v>
      </c>
      <c r="E1" t="str">
        <f>Data!E1</f>
        <v>Forks</v>
      </c>
      <c r="F1" t="str">
        <f>Data!F1</f>
        <v>Stared Today</v>
      </c>
      <c r="G1" t="s">
        <v>19</v>
      </c>
    </row>
    <row r="2" spans="1:18" x14ac:dyDescent="0.3">
      <c r="A2" s="1" t="str">
        <f>Data!A2</f>
        <v>https://github.com/coqui-ai/TTS</v>
      </c>
      <c r="B2" t="e">
        <f>Data!B2</f>
        <v>#NAME?</v>
      </c>
      <c r="C2" t="str">
        <f>Data!C2</f>
        <v>Python</v>
      </c>
      <c r="D2">
        <f>Data!D2</f>
        <v>16709</v>
      </c>
      <c r="E2">
        <f>Data!E2</f>
        <v>2042</v>
      </c>
      <c r="F2">
        <f>Data!F2</f>
        <v>1285</v>
      </c>
      <c r="G2" t="str">
        <f>MID($A2, 20, 100)</f>
        <v>coqui-ai/TTS</v>
      </c>
      <c r="I2" s="6" t="s">
        <v>20</v>
      </c>
      <c r="J2" s="6" t="s">
        <v>21</v>
      </c>
      <c r="K2" s="6" t="s">
        <v>22</v>
      </c>
      <c r="L2" s="6" t="s">
        <v>23</v>
      </c>
      <c r="M2" s="6" t="s">
        <v>24</v>
      </c>
      <c r="N2" s="6" t="s">
        <v>25</v>
      </c>
      <c r="O2" s="6" t="s">
        <v>26</v>
      </c>
    </row>
    <row r="3" spans="1:18" x14ac:dyDescent="0.3">
      <c r="A3" s="1" t="str">
        <f>Data!A3</f>
        <v>https://github.com/AUTOMATIC1111/stable-diffusion-webui</v>
      </c>
      <c r="B3" t="str">
        <f>Data!B3</f>
        <v>Stable Diffusion web UI</v>
      </c>
      <c r="C3" t="str">
        <f>Data!C3</f>
        <v>Python</v>
      </c>
      <c r="D3">
        <f>Data!D3</f>
        <v>102437</v>
      </c>
      <c r="E3">
        <f>Data!E3</f>
        <v>20455</v>
      </c>
      <c r="F3">
        <f>Data!F3</f>
        <v>115</v>
      </c>
      <c r="G3" t="str">
        <f t="shared" ref="G3:G25" si="0">MID($A3, 20, 100)</f>
        <v>AUTOMATIC1111/stable-diffusion-webui</v>
      </c>
      <c r="I3" t="str" cm="1">
        <f t="array" ref="I3:I18">_xlfn.UNIQUE(C2:C25)</f>
        <v>Python</v>
      </c>
      <c r="J3" s="5">
        <f>SUMIF($C$2:$C$25, $I3, D$2:D$25)</f>
        <v>124651</v>
      </c>
      <c r="K3" s="5">
        <f>SUMIF($C$2:$C$25, $I3, E$2:E$25)</f>
        <v>24034</v>
      </c>
      <c r="L3" s="5">
        <f>SUMIF($C$2:$C$25, $I3, F$2:F$25)</f>
        <v>1406</v>
      </c>
      <c r="M3">
        <f>AVERAGEIF($C$2:$C$25, $I3, D$2:D$25)</f>
        <v>41550.333333333336</v>
      </c>
      <c r="N3">
        <f t="shared" ref="N3:O18" si="1">AVERAGEIF($C$2:$C$25, $I3, E$2:E$25)</f>
        <v>8011.333333333333</v>
      </c>
      <c r="O3">
        <f t="shared" si="1"/>
        <v>468.66666666666669</v>
      </c>
      <c r="Q3" s="7" t="s">
        <v>78</v>
      </c>
      <c r="R3" s="10">
        <f>SUM(J:J)</f>
        <v>544469</v>
      </c>
    </row>
    <row r="4" spans="1:18" x14ac:dyDescent="0.3">
      <c r="A4" s="1" t="str">
        <f>Data!A4</f>
        <v>https://github.com/godotengine/godot-demo-projects</v>
      </c>
      <c r="B4" t="str">
        <f>Data!B4</f>
        <v>Demonstration and Template Projects</v>
      </c>
      <c r="C4" t="str">
        <f>Data!C4</f>
        <v>GDScript</v>
      </c>
      <c r="D4">
        <f>Data!D4</f>
        <v>3869</v>
      </c>
      <c r="E4">
        <f>Data!E4</f>
        <v>1336</v>
      </c>
      <c r="F4">
        <f>Data!F4</f>
        <v>65</v>
      </c>
      <c r="G4" t="str">
        <f t="shared" si="0"/>
        <v>godotengine/godot-demo-projects</v>
      </c>
      <c r="I4" t="str">
        <v>GDScript</v>
      </c>
      <c r="J4" s="5">
        <f t="shared" ref="J4:J18" si="2">SUMIF($C$2:$C$25, $I4, D$2:D$25)</f>
        <v>3869</v>
      </c>
      <c r="K4" s="5">
        <f t="shared" ref="K4:K18" si="3">SUMIF($C$2:$C$25, $I4, E$2:E$25)</f>
        <v>1336</v>
      </c>
      <c r="L4" s="5">
        <f t="shared" ref="L4:L18" si="4">SUMIF($C$2:$C$25, $I4, F$2:F$25)</f>
        <v>65</v>
      </c>
      <c r="M4">
        <f t="shared" ref="M4:M18" si="5">AVERAGEIF($C$2:$C$25, $I4, D$2:D$25)</f>
        <v>3869</v>
      </c>
      <c r="N4">
        <f t="shared" si="1"/>
        <v>1336</v>
      </c>
      <c r="O4">
        <f t="shared" si="1"/>
        <v>65</v>
      </c>
      <c r="Q4" s="7" t="s">
        <v>79</v>
      </c>
      <c r="R4" s="10">
        <f>SUM(K:K)</f>
        <v>83577</v>
      </c>
    </row>
    <row r="5" spans="1:18" x14ac:dyDescent="0.3">
      <c r="A5" s="1" t="str">
        <f>Data!A5</f>
        <v>https://github.com/ripienaar/free-for-dev</v>
      </c>
      <c r="B5" t="str">
        <f>Data!B5</f>
        <v>A list of SaaS, PaaS and IaaS offerings that have free tiers of interest to devops and infradev</v>
      </c>
      <c r="C5" t="str">
        <f>Data!C5</f>
        <v>HTML</v>
      </c>
      <c r="D5">
        <f>Data!D5</f>
        <v>73155</v>
      </c>
      <c r="E5">
        <f>Data!E5</f>
        <v>8030</v>
      </c>
      <c r="F5">
        <f>Data!F5</f>
        <v>30</v>
      </c>
      <c r="G5" t="str">
        <f t="shared" si="0"/>
        <v>ripienaar/free-for-dev</v>
      </c>
      <c r="I5" t="str">
        <v>HTML</v>
      </c>
      <c r="J5" s="5">
        <f t="shared" si="2"/>
        <v>73155</v>
      </c>
      <c r="K5" s="5">
        <f t="shared" si="3"/>
        <v>8030</v>
      </c>
      <c r="L5" s="5">
        <f t="shared" si="4"/>
        <v>30</v>
      </c>
      <c r="M5">
        <f t="shared" si="5"/>
        <v>73155</v>
      </c>
      <c r="N5">
        <f t="shared" si="1"/>
        <v>8030</v>
      </c>
      <c r="O5">
        <f t="shared" si="1"/>
        <v>30</v>
      </c>
      <c r="Q5" s="7" t="s">
        <v>80</v>
      </c>
      <c r="R5" s="10">
        <f>SUM(L:L)</f>
        <v>1988</v>
      </c>
    </row>
    <row r="6" spans="1:18" x14ac:dyDescent="0.3">
      <c r="A6" s="1" t="str">
        <f>Data!A6</f>
        <v>https://github.com/SerenityOS/serenity</v>
      </c>
      <c r="B6" t="str">
        <f>Data!B6</f>
        <v>The Serenity Operating System</v>
      </c>
      <c r="C6" t="str">
        <f>Data!C6</f>
        <v>C++</v>
      </c>
      <c r="D6">
        <f>Data!D6</f>
        <v>25980</v>
      </c>
      <c r="E6">
        <f>Data!E6</f>
        <v>2828</v>
      </c>
      <c r="F6">
        <f>Data!F6</f>
        <v>12</v>
      </c>
      <c r="G6" t="str">
        <f t="shared" si="0"/>
        <v>SerenityOS/serenity</v>
      </c>
      <c r="I6" t="str">
        <v>C++</v>
      </c>
      <c r="J6" s="5">
        <f t="shared" si="2"/>
        <v>53183</v>
      </c>
      <c r="K6" s="5">
        <f t="shared" si="3"/>
        <v>22203</v>
      </c>
      <c r="L6" s="5">
        <f t="shared" si="4"/>
        <v>168</v>
      </c>
      <c r="M6">
        <f t="shared" si="5"/>
        <v>13295.75</v>
      </c>
      <c r="N6">
        <f t="shared" si="1"/>
        <v>5550.75</v>
      </c>
      <c r="O6">
        <f t="shared" si="1"/>
        <v>42</v>
      </c>
      <c r="R6" s="8"/>
    </row>
    <row r="7" spans="1:18" x14ac:dyDescent="0.3">
      <c r="A7" s="1" t="str">
        <f>Data!A7</f>
        <v>https://github.com/Dimillian/IceCubesApp</v>
      </c>
      <c r="B7" t="str">
        <f>Data!B7</f>
        <v>A SwiftUI Mastodon client</v>
      </c>
      <c r="C7" t="str">
        <f>Data!C7</f>
        <v>Swift</v>
      </c>
      <c r="D7">
        <f>Data!D7</f>
        <v>3551</v>
      </c>
      <c r="E7">
        <f>Data!E7</f>
        <v>326</v>
      </c>
      <c r="F7">
        <f>Data!F7</f>
        <v>7</v>
      </c>
      <c r="G7" t="str">
        <f t="shared" si="0"/>
        <v>Dimillian/IceCubesApp</v>
      </c>
      <c r="I7" t="str">
        <v>Swift</v>
      </c>
      <c r="J7" s="5">
        <f t="shared" si="2"/>
        <v>3551</v>
      </c>
      <c r="K7" s="5">
        <f t="shared" si="3"/>
        <v>326</v>
      </c>
      <c r="L7" s="5">
        <f t="shared" si="4"/>
        <v>7</v>
      </c>
      <c r="M7">
        <f t="shared" si="5"/>
        <v>3551</v>
      </c>
      <c r="N7">
        <f t="shared" si="1"/>
        <v>326</v>
      </c>
      <c r="O7">
        <f t="shared" si="1"/>
        <v>7</v>
      </c>
      <c r="Q7" s="7" t="s">
        <v>24</v>
      </c>
      <c r="R7" s="8">
        <f>AVERAGE(M:M)</f>
        <v>23365.661458333336</v>
      </c>
    </row>
    <row r="8" spans="1:18" x14ac:dyDescent="0.3">
      <c r="A8" s="1" t="str">
        <f>Data!A8</f>
        <v>https://github.com/shadcn-ui/taxonomy</v>
      </c>
      <c r="B8" t="str">
        <f>Data!B8</f>
        <v>An open source application built using the new router, server components and everything new in Next.js 13.</v>
      </c>
      <c r="C8" t="str">
        <f>Data!C8</f>
        <v>TypeScript</v>
      </c>
      <c r="D8">
        <f>Data!D8</f>
        <v>15168</v>
      </c>
      <c r="E8">
        <f>Data!E8</f>
        <v>1917</v>
      </c>
      <c r="F8">
        <f>Data!F8</f>
        <v>42</v>
      </c>
      <c r="G8" t="str">
        <f t="shared" si="0"/>
        <v>shadcn-ui/taxonomy</v>
      </c>
      <c r="I8" t="str">
        <v>TypeScript</v>
      </c>
      <c r="J8" s="5">
        <f t="shared" si="2"/>
        <v>52503</v>
      </c>
      <c r="K8" s="5">
        <f t="shared" si="3"/>
        <v>4627</v>
      </c>
      <c r="L8" s="5">
        <f t="shared" si="4"/>
        <v>91</v>
      </c>
      <c r="M8">
        <f t="shared" si="5"/>
        <v>17501</v>
      </c>
      <c r="N8">
        <f t="shared" si="1"/>
        <v>1542.3333333333333</v>
      </c>
      <c r="O8">
        <f t="shared" si="1"/>
        <v>30.333333333333332</v>
      </c>
      <c r="Q8" s="7" t="s">
        <v>25</v>
      </c>
      <c r="R8" s="8">
        <f>AVERAGE(N:N)</f>
        <v>2953.1510416666665</v>
      </c>
    </row>
    <row r="9" spans="1:18" x14ac:dyDescent="0.3">
      <c r="A9" s="1" t="str">
        <f>Data!A9</f>
        <v>https://github.com/neovim/neovim</v>
      </c>
      <c r="B9" t="str">
        <f>Data!B9</f>
        <v>Vim-fork focused on extensibility and usability</v>
      </c>
      <c r="C9" t="str">
        <f>Data!C9</f>
        <v>Vim Script</v>
      </c>
      <c r="D9">
        <f>Data!D9</f>
        <v>69486</v>
      </c>
      <c r="E9">
        <f>Data!E9</f>
        <v>4872</v>
      </c>
      <c r="F9">
        <f>Data!F9</f>
        <v>46</v>
      </c>
      <c r="G9" t="str">
        <f t="shared" si="0"/>
        <v>neovim/neovim</v>
      </c>
      <c r="I9" t="str">
        <v>Vim Script</v>
      </c>
      <c r="J9" s="5">
        <f t="shared" si="2"/>
        <v>69486</v>
      </c>
      <c r="K9" s="5">
        <f t="shared" si="3"/>
        <v>4872</v>
      </c>
      <c r="L9" s="5">
        <f t="shared" si="4"/>
        <v>46</v>
      </c>
      <c r="M9">
        <f t="shared" si="5"/>
        <v>69486</v>
      </c>
      <c r="N9">
        <f t="shared" si="1"/>
        <v>4872</v>
      </c>
      <c r="O9">
        <f t="shared" si="1"/>
        <v>46</v>
      </c>
      <c r="Q9" s="7" t="s">
        <v>26</v>
      </c>
      <c r="R9" s="8">
        <f>AVERAGE(O:O)</f>
        <v>52.875000000000007</v>
      </c>
    </row>
    <row r="10" spans="1:18" x14ac:dyDescent="0.3">
      <c r="A10" s="1" t="str">
        <f>Data!A10</f>
        <v>https://github.com/elebumm/RedditVideoMakerBot</v>
      </c>
      <c r="B10" t="str">
        <f>Data!B10</f>
        <v>Create Reddit Videos with just one command</v>
      </c>
      <c r="C10" t="str">
        <f>Data!C10</f>
        <v>Python</v>
      </c>
      <c r="D10">
        <f>Data!D10</f>
        <v>5505</v>
      </c>
      <c r="E10">
        <f>Data!E10</f>
        <v>1537</v>
      </c>
      <c r="F10">
        <f>Data!F10</f>
        <v>6</v>
      </c>
      <c r="G10" t="str">
        <f t="shared" si="0"/>
        <v>elebumm/RedditVideoMakerBot</v>
      </c>
      <c r="I10" t="str">
        <v>Kotlin</v>
      </c>
      <c r="J10" s="5">
        <f t="shared" si="2"/>
        <v>4565</v>
      </c>
      <c r="K10" s="5">
        <f t="shared" si="3"/>
        <v>1112</v>
      </c>
      <c r="L10" s="5">
        <f t="shared" si="4"/>
        <v>7</v>
      </c>
      <c r="M10">
        <f t="shared" si="5"/>
        <v>4565</v>
      </c>
      <c r="N10">
        <f t="shared" si="1"/>
        <v>1112</v>
      </c>
      <c r="O10">
        <f t="shared" si="1"/>
        <v>7</v>
      </c>
    </row>
    <row r="11" spans="1:18" x14ac:dyDescent="0.3">
      <c r="A11" s="1" t="str">
        <f>Data!A11</f>
        <v>https://github.com/tiann/KernelSU</v>
      </c>
      <c r="B11" t="str">
        <f>Data!B11</f>
        <v>A Kernel based root solution for Android</v>
      </c>
      <c r="C11" t="str">
        <f>Data!C11</f>
        <v>Kotlin</v>
      </c>
      <c r="D11">
        <f>Data!D11</f>
        <v>4565</v>
      </c>
      <c r="E11">
        <f>Data!E11</f>
        <v>1112</v>
      </c>
      <c r="F11">
        <f>Data!F11</f>
        <v>7</v>
      </c>
      <c r="G11" t="str">
        <f t="shared" si="0"/>
        <v>tiann/KernelSU</v>
      </c>
      <c r="I11" t="str">
        <v>Go</v>
      </c>
      <c r="J11" s="5">
        <f t="shared" si="2"/>
        <v>13512</v>
      </c>
      <c r="K11" s="5">
        <f t="shared" si="3"/>
        <v>959</v>
      </c>
      <c r="L11" s="5">
        <f t="shared" si="4"/>
        <v>23</v>
      </c>
      <c r="M11">
        <f t="shared" si="5"/>
        <v>13512</v>
      </c>
      <c r="N11">
        <f t="shared" si="1"/>
        <v>959</v>
      </c>
      <c r="O11">
        <f t="shared" si="1"/>
        <v>23</v>
      </c>
    </row>
    <row r="12" spans="1:18" x14ac:dyDescent="0.3">
      <c r="A12" s="1" t="str">
        <f>Data!A12</f>
        <v>https://github.com/immich-app/immich</v>
      </c>
      <c r="B12" t="str">
        <f>Data!B12</f>
        <v>Self-hosted photo and video backup solution directly from your mobile phone.</v>
      </c>
      <c r="C12" t="str">
        <f>Data!C12</f>
        <v>TypeScript</v>
      </c>
      <c r="D12">
        <f>Data!D12</f>
        <v>18543</v>
      </c>
      <c r="E12">
        <f>Data!E12</f>
        <v>746</v>
      </c>
      <c r="F12">
        <f>Data!F12</f>
        <v>37</v>
      </c>
      <c r="G12" t="str">
        <f t="shared" si="0"/>
        <v>immich-app/immich</v>
      </c>
      <c r="I12" t="str">
        <v>C</v>
      </c>
      <c r="J12" s="5">
        <f t="shared" si="2"/>
        <v>10450</v>
      </c>
      <c r="K12" s="5">
        <f t="shared" si="3"/>
        <v>2471</v>
      </c>
      <c r="L12" s="5">
        <f t="shared" si="4"/>
        <v>6</v>
      </c>
      <c r="M12">
        <f t="shared" si="5"/>
        <v>10450</v>
      </c>
      <c r="N12">
        <f t="shared" si="1"/>
        <v>2471</v>
      </c>
      <c r="O12">
        <f t="shared" si="1"/>
        <v>6</v>
      </c>
    </row>
    <row r="13" spans="1:18" x14ac:dyDescent="0.3">
      <c r="A13" s="1" t="str">
        <f>Data!A13</f>
        <v>https://github.com/tailscale/tailscale</v>
      </c>
      <c r="B13" t="str">
        <f>Data!B13</f>
        <v>The easiest, most secure way to use WireGuard and 2FA.</v>
      </c>
      <c r="C13" t="str">
        <f>Data!C13</f>
        <v>Go</v>
      </c>
      <c r="D13">
        <f>Data!D13</f>
        <v>13512</v>
      </c>
      <c r="E13">
        <f>Data!E13</f>
        <v>959</v>
      </c>
      <c r="F13">
        <f>Data!F13</f>
        <v>23</v>
      </c>
      <c r="G13" t="str">
        <f t="shared" si="0"/>
        <v>tailscale/tailscale</v>
      </c>
      <c r="I13" t="str">
        <v>PHP</v>
      </c>
      <c r="J13" s="5">
        <f t="shared" si="2"/>
        <v>23763</v>
      </c>
      <c r="K13" s="5">
        <f t="shared" si="3"/>
        <v>3697</v>
      </c>
      <c r="L13" s="5">
        <f t="shared" si="4"/>
        <v>9</v>
      </c>
      <c r="M13">
        <f t="shared" si="5"/>
        <v>23763</v>
      </c>
      <c r="N13">
        <f t="shared" si="1"/>
        <v>3697</v>
      </c>
      <c r="O13">
        <f t="shared" si="1"/>
        <v>9</v>
      </c>
    </row>
    <row r="14" spans="1:18" x14ac:dyDescent="0.3">
      <c r="A14" s="1" t="str">
        <f>Data!A14</f>
        <v>https://github.com/invoke-ai/InvokeAI</v>
      </c>
      <c r="B14" t="str">
        <f>Data!B14</f>
        <v>InvokeAI is a leading creative engine for Stable Diffusion models, empowering professionals, artists, and enthusiasts to generate and create visual media using the latest AI-driven technologies. The solution offers an industry leading WebUI, supports terminal use through a CLI, and serves as the foundation for multiple commercial products.</v>
      </c>
      <c r="C14" t="str">
        <f>Data!C14</f>
        <v>TypeScript</v>
      </c>
      <c r="D14">
        <f>Data!D14</f>
        <v>18792</v>
      </c>
      <c r="E14">
        <f>Data!E14</f>
        <v>1964</v>
      </c>
      <c r="F14">
        <f>Data!F14</f>
        <v>12</v>
      </c>
      <c r="G14" t="str">
        <f t="shared" si="0"/>
        <v>invoke-ai/InvokeAI</v>
      </c>
      <c r="I14" t="str">
        <v>Lua</v>
      </c>
      <c r="J14" s="5">
        <f t="shared" si="2"/>
        <v>11248</v>
      </c>
      <c r="K14" s="5">
        <f t="shared" si="3"/>
        <v>675</v>
      </c>
      <c r="L14" s="5">
        <f t="shared" si="4"/>
        <v>11</v>
      </c>
      <c r="M14">
        <f t="shared" si="5"/>
        <v>11248</v>
      </c>
      <c r="N14">
        <f t="shared" si="1"/>
        <v>675</v>
      </c>
      <c r="O14">
        <f t="shared" si="1"/>
        <v>11</v>
      </c>
    </row>
    <row r="15" spans="1:18" x14ac:dyDescent="0.3">
      <c r="A15" s="1" t="str">
        <f>Data!A15</f>
        <v>https://github.com/godotengine/godot-cpp</v>
      </c>
      <c r="B15" t="str">
        <f>Data!B15</f>
        <v>C++ bindings for the Godot script API</v>
      </c>
      <c r="C15" t="str">
        <f>Data!C15</f>
        <v>C++</v>
      </c>
      <c r="D15">
        <f>Data!D15</f>
        <v>1074</v>
      </c>
      <c r="E15">
        <f>Data!E15</f>
        <v>377</v>
      </c>
      <c r="F15">
        <f>Data!F15</f>
        <v>53</v>
      </c>
      <c r="G15" t="str">
        <f t="shared" si="0"/>
        <v>godotengine/godot-cpp</v>
      </c>
      <c r="I15" t="str">
        <v>Rust</v>
      </c>
      <c r="J15" s="5">
        <f t="shared" si="2"/>
        <v>25257</v>
      </c>
      <c r="K15" s="5">
        <f t="shared" si="3"/>
        <v>1134</v>
      </c>
      <c r="L15" s="5">
        <f t="shared" si="4"/>
        <v>36</v>
      </c>
      <c r="M15">
        <f t="shared" si="5"/>
        <v>12628.5</v>
      </c>
      <c r="N15">
        <f t="shared" si="1"/>
        <v>567</v>
      </c>
      <c r="O15">
        <f t="shared" si="1"/>
        <v>18</v>
      </c>
    </row>
    <row r="16" spans="1:18" x14ac:dyDescent="0.3">
      <c r="A16" s="1" t="str">
        <f>Data!A16</f>
        <v>https://github.com/SoftEtherVPN/SoftEtherVPN</v>
      </c>
      <c r="B16" t="str">
        <f>Data!B16</f>
        <v>Cross-platform multi-protocol VPN software. Pull requests are welcome. The stable version is available at https://github.com/SoftEtherVPN/SoftEtherVPN_Stable.</v>
      </c>
      <c r="C16" t="str">
        <f>Data!C16</f>
        <v>C</v>
      </c>
      <c r="D16">
        <f>Data!D16</f>
        <v>10450</v>
      </c>
      <c r="E16">
        <f>Data!E16</f>
        <v>2471</v>
      </c>
      <c r="F16">
        <f>Data!F16</f>
        <v>6</v>
      </c>
      <c r="G16" t="str">
        <f t="shared" si="0"/>
        <v>SoftEtherVPN/SoftEtherVPN</v>
      </c>
      <c r="I16" t="str">
        <v>Java</v>
      </c>
      <c r="J16" s="5">
        <f t="shared" si="2"/>
        <v>42703</v>
      </c>
      <c r="K16" s="5">
        <f t="shared" si="3"/>
        <v>5187</v>
      </c>
      <c r="L16" s="5">
        <f t="shared" si="4"/>
        <v>51</v>
      </c>
      <c r="M16">
        <f t="shared" si="5"/>
        <v>42703</v>
      </c>
      <c r="N16">
        <f t="shared" si="1"/>
        <v>5187</v>
      </c>
      <c r="O16">
        <f t="shared" si="1"/>
        <v>51</v>
      </c>
    </row>
    <row r="17" spans="1:15" x14ac:dyDescent="0.3">
      <c r="A17" s="1" t="str">
        <f>Data!A17</f>
        <v>https://github.com/nextcloud/server</v>
      </c>
      <c r="B17" t="str">
        <f>Data!B17</f>
        <v>Nextcloud server, a safe home for all your data</v>
      </c>
      <c r="C17" t="str">
        <f>Data!C17</f>
        <v>PHP</v>
      </c>
      <c r="D17">
        <f>Data!D17</f>
        <v>23763</v>
      </c>
      <c r="E17">
        <f>Data!E17</f>
        <v>3697</v>
      </c>
      <c r="F17">
        <f>Data!F17</f>
        <v>9</v>
      </c>
      <c r="G17" t="str">
        <f t="shared" si="0"/>
        <v>nextcloud/server</v>
      </c>
      <c r="I17" t="str">
        <v>JavaScript</v>
      </c>
      <c r="J17" s="5">
        <f t="shared" si="2"/>
        <v>7731</v>
      </c>
      <c r="K17" s="5">
        <f t="shared" si="3"/>
        <v>644</v>
      </c>
      <c r="L17" s="5">
        <f t="shared" si="4"/>
        <v>11</v>
      </c>
      <c r="M17">
        <f t="shared" si="5"/>
        <v>7731</v>
      </c>
      <c r="N17">
        <f t="shared" si="1"/>
        <v>644</v>
      </c>
      <c r="O17">
        <f t="shared" si="1"/>
        <v>11</v>
      </c>
    </row>
    <row r="18" spans="1:15" x14ac:dyDescent="0.3">
      <c r="A18" s="1" t="str">
        <f>Data!A18</f>
        <v>https://github.com/nvim-telescope/telescope.nvim</v>
      </c>
      <c r="B18" t="str">
        <f>Data!B18</f>
        <v>Find, Filter, Preview, Pick. All lua, all the time.</v>
      </c>
      <c r="C18" t="str">
        <f>Data!C18</f>
        <v>Lua</v>
      </c>
      <c r="D18">
        <f>Data!D18</f>
        <v>11248</v>
      </c>
      <c r="E18">
        <f>Data!E18</f>
        <v>675</v>
      </c>
      <c r="F18">
        <f>Data!F18</f>
        <v>11</v>
      </c>
      <c r="G18" t="str">
        <f t="shared" si="0"/>
        <v>nvim-telescope/telescope.nvim</v>
      </c>
      <c r="I18" t="str">
        <v>C#</v>
      </c>
      <c r="J18" s="5">
        <f t="shared" si="2"/>
        <v>24842</v>
      </c>
      <c r="K18" s="5">
        <f t="shared" si="3"/>
        <v>2270</v>
      </c>
      <c r="L18" s="5">
        <f t="shared" si="4"/>
        <v>21</v>
      </c>
      <c r="M18">
        <f t="shared" si="5"/>
        <v>24842</v>
      </c>
      <c r="N18">
        <f t="shared" si="1"/>
        <v>2270</v>
      </c>
      <c r="O18">
        <f t="shared" si="1"/>
        <v>21</v>
      </c>
    </row>
    <row r="19" spans="1:15" x14ac:dyDescent="0.3">
      <c r="A19" s="1" t="str">
        <f>Data!A19</f>
        <v>https://github.com/DioxusLabs/dioxus</v>
      </c>
      <c r="B19" t="str">
        <f>Data!B19</f>
        <v>Fullstack GUI library for desktop, web, mobile, and more.</v>
      </c>
      <c r="C19" t="str">
        <f>Data!C19</f>
        <v>Rust</v>
      </c>
      <c r="D19">
        <f>Data!D19</f>
        <v>13917</v>
      </c>
      <c r="E19">
        <f>Data!E19</f>
        <v>437</v>
      </c>
      <c r="F19">
        <f>Data!F19</f>
        <v>14</v>
      </c>
      <c r="G19" t="str">
        <f t="shared" si="0"/>
        <v>DioxusLabs/dioxus</v>
      </c>
    </row>
    <row r="20" spans="1:15" x14ac:dyDescent="0.3">
      <c r="A20" s="1" t="str">
        <f>Data!A20</f>
        <v>https://github.com/0x192/universal-android-debloater</v>
      </c>
      <c r="B20" t="str">
        <f>Data!B20</f>
        <v>Cross-platform GUI written in Rust using ADB to debloat non-rooted android devices. Improve your privacy, the security and battery life of your device.</v>
      </c>
      <c r="C20" t="str">
        <f>Data!C20</f>
        <v>Rust</v>
      </c>
      <c r="D20">
        <f>Data!D20</f>
        <v>11340</v>
      </c>
      <c r="E20">
        <f>Data!E20</f>
        <v>697</v>
      </c>
      <c r="F20">
        <f>Data!F20</f>
        <v>22</v>
      </c>
      <c r="G20" t="str">
        <f t="shared" si="0"/>
        <v>0x192/universal-android-debloater</v>
      </c>
    </row>
    <row r="21" spans="1:15" x14ac:dyDescent="0.3">
      <c r="A21" s="1" t="str">
        <f>Data!A21</f>
        <v>https://github.com/hyprwm/Hyprland</v>
      </c>
      <c r="B21" t="str">
        <f>Data!B21</f>
        <v>Hyprland is a highly customizable dynamic tiling Wayland compositor that doesn't sacrifice on its looks.</v>
      </c>
      <c r="C21" t="str">
        <f>Data!C21</f>
        <v>C++</v>
      </c>
      <c r="D21">
        <f>Data!D21</f>
        <v>10863</v>
      </c>
      <c r="E21">
        <f>Data!E21</f>
        <v>395</v>
      </c>
      <c r="F21">
        <f>Data!F21</f>
        <v>42</v>
      </c>
      <c r="G21" t="str">
        <f t="shared" si="0"/>
        <v>hyprwm/Hyprland</v>
      </c>
    </row>
    <row r="22" spans="1:15" x14ac:dyDescent="0.3">
      <c r="A22" s="1" t="str">
        <f>Data!A22</f>
        <v>https://github.com/NationalSecurityAgency/ghidra</v>
      </c>
      <c r="B22" t="str">
        <f>Data!B22</f>
        <v>Ghidra is a software reverse engineering (SRE) framework</v>
      </c>
      <c r="C22" t="str">
        <f>Data!C22</f>
        <v>Java</v>
      </c>
      <c r="D22">
        <f>Data!D22</f>
        <v>42703</v>
      </c>
      <c r="E22">
        <f>Data!E22</f>
        <v>5187</v>
      </c>
      <c r="F22">
        <f>Data!F22</f>
        <v>51</v>
      </c>
      <c r="G22" t="str">
        <f t="shared" si="0"/>
        <v>NationalSecurityAgency/ghidra</v>
      </c>
    </row>
    <row r="23" spans="1:15" x14ac:dyDescent="0.3">
      <c r="A23" s="1" t="str">
        <f>Data!A23</f>
        <v>https://github.com/easydiffusion/easydiffusion</v>
      </c>
      <c r="B23" t="str">
        <f>Data!B23</f>
        <v>Easiest 1-click way to create beautiful artwork on your PC using AI, with no tech knowledge. Provides a browser UI for generating images from text prompts and images. Just enter your text prompt, and see the generated image.</v>
      </c>
      <c r="C23" t="str">
        <f>Data!C23</f>
        <v>JavaScript</v>
      </c>
      <c r="D23">
        <f>Data!D23</f>
        <v>7731</v>
      </c>
      <c r="E23">
        <f>Data!E23</f>
        <v>644</v>
      </c>
      <c r="F23">
        <f>Data!F23</f>
        <v>11</v>
      </c>
      <c r="G23" t="str">
        <f t="shared" si="0"/>
        <v>easydiffusion/easydiffusion</v>
      </c>
    </row>
    <row r="24" spans="1:15" x14ac:dyDescent="0.3">
      <c r="A24" s="1" t="str">
        <f>Data!A24</f>
        <v>https://github.com/jellyfin/jellyfin</v>
      </c>
      <c r="B24" t="str">
        <f>Data!B24</f>
        <v>The Free Software Media System</v>
      </c>
      <c r="C24" t="str">
        <f>Data!C24</f>
        <v>C#</v>
      </c>
      <c r="D24">
        <f>Data!D24</f>
        <v>24842</v>
      </c>
      <c r="E24">
        <f>Data!E24</f>
        <v>2270</v>
      </c>
      <c r="F24">
        <f>Data!F24</f>
        <v>21</v>
      </c>
      <c r="G24" t="str">
        <f t="shared" si="0"/>
        <v>jellyfin/jellyfin</v>
      </c>
    </row>
    <row r="25" spans="1:15" x14ac:dyDescent="0.3">
      <c r="A25" s="1" t="str">
        <f>Data!A25</f>
        <v>https://github.com/MarlinFirmware/Marlin</v>
      </c>
      <c r="B25" t="str">
        <f>Data!B25</f>
        <v>Marlin is an optimized firmware for RepRap 3D printers based on the Arduino platform. Many commercial 3D printers come with Marlin installed. Check with your vendor if you need source code for your specific machine.</v>
      </c>
      <c r="C25" t="str">
        <f>Data!C25</f>
        <v>C++</v>
      </c>
      <c r="D25">
        <f>Data!D25</f>
        <v>15266</v>
      </c>
      <c r="E25">
        <f>Data!E25</f>
        <v>18603</v>
      </c>
      <c r="F25">
        <f>Data!F25</f>
        <v>61</v>
      </c>
      <c r="G25" t="str">
        <f t="shared" si="0"/>
        <v>MarlinFirmware/Marlin</v>
      </c>
    </row>
    <row r="26" spans="1:15" x14ac:dyDescent="0.3">
      <c r="A26"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96C58-A70C-4DB7-B78E-9F997103A8D3}">
  <sheetPr codeName="Sheet2"/>
  <dimension ref="A1:H25"/>
  <sheetViews>
    <sheetView showGridLines="0" tabSelected="1" workbookViewId="0">
      <selection activeCell="AA3" sqref="AA3"/>
    </sheetView>
  </sheetViews>
  <sheetFormatPr defaultColWidth="9" defaultRowHeight="14.4" x14ac:dyDescent="0.3"/>
  <cols>
    <col min="1" max="16384" width="9" style="2"/>
  </cols>
  <sheetData>
    <row r="1" spans="1:8" x14ac:dyDescent="0.3">
      <c r="A1" s="9" t="s">
        <v>28</v>
      </c>
      <c r="B1" s="9"/>
      <c r="C1" s="9"/>
      <c r="D1" s="9"/>
      <c r="E1" s="9"/>
      <c r="F1" s="9"/>
      <c r="G1" s="9"/>
      <c r="H1" s="9"/>
    </row>
    <row r="2" spans="1:8" x14ac:dyDescent="0.3">
      <c r="A2" s="9"/>
      <c r="B2" s="9"/>
      <c r="C2" s="9"/>
      <c r="D2" s="9"/>
      <c r="E2" s="9"/>
      <c r="F2" s="9"/>
      <c r="G2" s="9"/>
      <c r="H2" s="9"/>
    </row>
    <row r="3" spans="1:8" x14ac:dyDescent="0.3">
      <c r="A3" s="9"/>
      <c r="B3" s="9"/>
      <c r="C3" s="9"/>
      <c r="D3" s="9"/>
      <c r="E3" s="9"/>
      <c r="F3" s="9"/>
      <c r="G3" s="9"/>
      <c r="H3" s="9"/>
    </row>
    <row r="4" spans="1:8" x14ac:dyDescent="0.3">
      <c r="A4" s="9"/>
      <c r="B4" s="9"/>
      <c r="C4" s="9"/>
      <c r="D4" s="9"/>
      <c r="E4" s="9"/>
      <c r="F4" s="9"/>
      <c r="G4" s="9"/>
      <c r="H4" s="9"/>
    </row>
    <row r="5" spans="1:8" x14ac:dyDescent="0.3">
      <c r="A5" s="9"/>
      <c r="B5" s="9"/>
      <c r="C5" s="9"/>
      <c r="D5" s="9"/>
      <c r="E5" s="9"/>
      <c r="F5" s="9"/>
      <c r="G5" s="9"/>
      <c r="H5" s="9"/>
    </row>
    <row r="7" spans="1:8" x14ac:dyDescent="0.3">
      <c r="C7" s="3"/>
      <c r="D7" s="3"/>
    </row>
    <row r="8" spans="1:8" x14ac:dyDescent="0.3">
      <c r="C8" s="3"/>
      <c r="D8" s="3"/>
    </row>
    <row r="9" spans="1:8" x14ac:dyDescent="0.3">
      <c r="C9" s="3"/>
      <c r="D9" s="3"/>
    </row>
    <row r="10" spans="1:8" x14ac:dyDescent="0.3">
      <c r="C10" s="3"/>
      <c r="D10" s="3"/>
    </row>
    <row r="11" spans="1:8" x14ac:dyDescent="0.3">
      <c r="C11" s="3"/>
      <c r="D11" s="3"/>
    </row>
    <row r="12" spans="1:8" x14ac:dyDescent="0.3">
      <c r="C12" s="3"/>
      <c r="D12" s="3"/>
    </row>
    <row r="13" spans="1:8" x14ac:dyDescent="0.3">
      <c r="C13" s="3"/>
      <c r="D13" s="3"/>
    </row>
    <row r="14" spans="1:8" x14ac:dyDescent="0.3">
      <c r="C14" s="3"/>
      <c r="D14" s="3"/>
    </row>
    <row r="15" spans="1:8" x14ac:dyDescent="0.3">
      <c r="C15" s="3"/>
      <c r="D15" s="3"/>
    </row>
    <row r="16" spans="1:8" x14ac:dyDescent="0.3">
      <c r="C16" s="3"/>
      <c r="D16" s="3"/>
    </row>
    <row r="17" spans="3:4" x14ac:dyDescent="0.3">
      <c r="C17" s="3"/>
      <c r="D17" s="3"/>
    </row>
    <row r="19" spans="3:4" x14ac:dyDescent="0.3">
      <c r="C19" s="3"/>
      <c r="D19" s="3"/>
    </row>
    <row r="20" spans="3:4" x14ac:dyDescent="0.3">
      <c r="C20" s="3"/>
      <c r="D20" s="3"/>
    </row>
    <row r="21" spans="3:4" x14ac:dyDescent="0.3">
      <c r="C21" s="3"/>
    </row>
    <row r="22" spans="3:4" x14ac:dyDescent="0.3">
      <c r="C22" s="3"/>
      <c r="D22" s="3"/>
    </row>
    <row r="23" spans="3:4" x14ac:dyDescent="0.3">
      <c r="C23" s="3"/>
      <c r="D23" s="3"/>
    </row>
    <row r="24" spans="3:4" x14ac:dyDescent="0.3">
      <c r="C24" s="3"/>
      <c r="D24" s="3"/>
    </row>
    <row r="25" spans="3:4" x14ac:dyDescent="0.3">
      <c r="C25" s="3"/>
      <c r="D25" s="3"/>
    </row>
  </sheetData>
  <mergeCells count="1">
    <mergeCell ref="A1:H5"/>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DataCopy</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Butler</dc:creator>
  <cp:lastModifiedBy>John Butler</cp:lastModifiedBy>
  <dcterms:created xsi:type="dcterms:W3CDTF">2023-09-15T21:57:33Z</dcterms:created>
  <dcterms:modified xsi:type="dcterms:W3CDTF">2023-09-18T16:06:34Z</dcterms:modified>
</cp:coreProperties>
</file>